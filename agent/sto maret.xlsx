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BACKUP DARI D\yanti rsns\LOGISTIK\LAPORAN LOGISTIK\"/>
    </mc:Choice>
  </mc:AlternateContent>
  <bookViews>
    <workbookView xWindow="0" yWindow="0" windowWidth="21600" windowHeight="9735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7" i="1" l="1"/>
  <c r="F316" i="1"/>
  <c r="J279" i="1"/>
  <c r="J280" i="1"/>
  <c r="K280" i="1" s="1"/>
  <c r="J281" i="1"/>
  <c r="J282" i="1"/>
  <c r="K282" i="1" s="1"/>
  <c r="J283" i="1"/>
  <c r="J284" i="1"/>
  <c r="K284" i="1" s="1"/>
  <c r="J285" i="1"/>
  <c r="J286" i="1"/>
  <c r="K286" i="1" s="1"/>
  <c r="J287" i="1"/>
  <c r="J288" i="1"/>
  <c r="K288" i="1" s="1"/>
  <c r="J289" i="1"/>
  <c r="J290" i="1"/>
  <c r="K290" i="1" s="1"/>
  <c r="J291" i="1"/>
  <c r="K279" i="1"/>
  <c r="K281" i="1"/>
  <c r="K283" i="1"/>
  <c r="K285" i="1"/>
  <c r="K287" i="1"/>
  <c r="K289" i="1"/>
  <c r="K291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H358" i="1" l="1"/>
  <c r="I358" i="1" s="1"/>
  <c r="G358" i="1"/>
  <c r="H357" i="1"/>
  <c r="J357" i="1" s="1"/>
  <c r="K357" i="1" s="1"/>
  <c r="G357" i="1"/>
  <c r="H356" i="1"/>
  <c r="I356" i="1" s="1"/>
  <c r="G356" i="1"/>
  <c r="H355" i="1"/>
  <c r="J355" i="1" s="1"/>
  <c r="K355" i="1" s="1"/>
  <c r="G355" i="1"/>
  <c r="E355" i="1"/>
  <c r="H354" i="1"/>
  <c r="J354" i="1" s="1"/>
  <c r="K354" i="1" s="1"/>
  <c r="G354" i="1"/>
  <c r="E354" i="1"/>
  <c r="H353" i="1"/>
  <c r="J353" i="1" s="1"/>
  <c r="K353" i="1" s="1"/>
  <c r="G353" i="1"/>
  <c r="E353" i="1"/>
  <c r="H352" i="1"/>
  <c r="J352" i="1" s="1"/>
  <c r="K352" i="1" s="1"/>
  <c r="G352" i="1"/>
  <c r="E352" i="1"/>
  <c r="H351" i="1"/>
  <c r="J351" i="1" s="1"/>
  <c r="K351" i="1" s="1"/>
  <c r="G351" i="1"/>
  <c r="E351" i="1"/>
  <c r="H350" i="1"/>
  <c r="J350" i="1" s="1"/>
  <c r="K350" i="1" s="1"/>
  <c r="G350" i="1"/>
  <c r="E350" i="1"/>
  <c r="H349" i="1"/>
  <c r="J349" i="1" s="1"/>
  <c r="K349" i="1" s="1"/>
  <c r="G349" i="1"/>
  <c r="E349" i="1"/>
  <c r="H348" i="1"/>
  <c r="J348" i="1" s="1"/>
  <c r="K348" i="1" s="1"/>
  <c r="G348" i="1"/>
  <c r="E348" i="1"/>
  <c r="H347" i="1"/>
  <c r="J347" i="1" s="1"/>
  <c r="K347" i="1" s="1"/>
  <c r="G347" i="1"/>
  <c r="E347" i="1"/>
  <c r="H346" i="1"/>
  <c r="J346" i="1" s="1"/>
  <c r="K346" i="1" s="1"/>
  <c r="G346" i="1"/>
  <c r="E346" i="1"/>
  <c r="H345" i="1"/>
  <c r="J345" i="1" s="1"/>
  <c r="K345" i="1" s="1"/>
  <c r="G345" i="1"/>
  <c r="E345" i="1"/>
  <c r="H344" i="1"/>
  <c r="J344" i="1" s="1"/>
  <c r="K344" i="1" s="1"/>
  <c r="G344" i="1"/>
  <c r="E344" i="1"/>
  <c r="H343" i="1"/>
  <c r="J343" i="1" s="1"/>
  <c r="K343" i="1" s="1"/>
  <c r="G343" i="1"/>
  <c r="E343" i="1"/>
  <c r="H342" i="1"/>
  <c r="I342" i="1" s="1"/>
  <c r="G342" i="1"/>
  <c r="H341" i="1"/>
  <c r="J341" i="1" s="1"/>
  <c r="K341" i="1" s="1"/>
  <c r="G341" i="1"/>
  <c r="E341" i="1"/>
  <c r="H340" i="1"/>
  <c r="J340" i="1" s="1"/>
  <c r="K340" i="1" s="1"/>
  <c r="G340" i="1"/>
  <c r="E340" i="1"/>
  <c r="H339" i="1"/>
  <c r="J339" i="1" s="1"/>
  <c r="K339" i="1" s="1"/>
  <c r="G339" i="1"/>
  <c r="E339" i="1"/>
  <c r="H338" i="1"/>
  <c r="J338" i="1" s="1"/>
  <c r="K338" i="1" s="1"/>
  <c r="G338" i="1"/>
  <c r="E338" i="1"/>
  <c r="H337" i="1"/>
  <c r="J337" i="1" s="1"/>
  <c r="K337" i="1" s="1"/>
  <c r="G337" i="1"/>
  <c r="E337" i="1"/>
  <c r="H336" i="1"/>
  <c r="J336" i="1" s="1"/>
  <c r="K336" i="1" s="1"/>
  <c r="G336" i="1"/>
  <c r="E336" i="1"/>
  <c r="H335" i="1"/>
  <c r="J335" i="1" s="1"/>
  <c r="K335" i="1" s="1"/>
  <c r="G335" i="1"/>
  <c r="E335" i="1"/>
  <c r="H334" i="1"/>
  <c r="J334" i="1" s="1"/>
  <c r="K334" i="1" s="1"/>
  <c r="G334" i="1"/>
  <c r="E334" i="1"/>
  <c r="H333" i="1"/>
  <c r="J333" i="1" s="1"/>
  <c r="K333" i="1" s="1"/>
  <c r="G333" i="1"/>
  <c r="E333" i="1"/>
  <c r="H332" i="1"/>
  <c r="J332" i="1" s="1"/>
  <c r="K332" i="1" s="1"/>
  <c r="G332" i="1"/>
  <c r="E332" i="1"/>
  <c r="H331" i="1"/>
  <c r="J331" i="1" s="1"/>
  <c r="K331" i="1" s="1"/>
  <c r="G331" i="1"/>
  <c r="E331" i="1"/>
  <c r="I330" i="1"/>
  <c r="H330" i="1"/>
  <c r="J330" i="1" s="1"/>
  <c r="K330" i="1" s="1"/>
  <c r="G330" i="1"/>
  <c r="E330" i="1"/>
  <c r="H329" i="1"/>
  <c r="J329" i="1" s="1"/>
  <c r="K329" i="1" s="1"/>
  <c r="G329" i="1"/>
  <c r="E329" i="1"/>
  <c r="H328" i="1"/>
  <c r="J328" i="1" s="1"/>
  <c r="K328" i="1" s="1"/>
  <c r="G328" i="1"/>
  <c r="E328" i="1"/>
  <c r="H327" i="1"/>
  <c r="J327" i="1" s="1"/>
  <c r="K327" i="1" s="1"/>
  <c r="G327" i="1"/>
  <c r="E327" i="1"/>
  <c r="H326" i="1"/>
  <c r="J326" i="1" s="1"/>
  <c r="K326" i="1" s="1"/>
  <c r="G326" i="1"/>
  <c r="E326" i="1"/>
  <c r="H325" i="1"/>
  <c r="J325" i="1" s="1"/>
  <c r="K325" i="1" s="1"/>
  <c r="G325" i="1"/>
  <c r="E325" i="1"/>
  <c r="H324" i="1"/>
  <c r="J324" i="1" s="1"/>
  <c r="K324" i="1" s="1"/>
  <c r="G324" i="1"/>
  <c r="E324" i="1"/>
  <c r="H323" i="1"/>
  <c r="J323" i="1" s="1"/>
  <c r="K323" i="1" s="1"/>
  <c r="G323" i="1"/>
  <c r="E323" i="1"/>
  <c r="H322" i="1"/>
  <c r="J322" i="1" s="1"/>
  <c r="K322" i="1" s="1"/>
  <c r="G322" i="1"/>
  <c r="E322" i="1"/>
  <c r="H321" i="1"/>
  <c r="J321" i="1" s="1"/>
  <c r="K321" i="1" s="1"/>
  <c r="G321" i="1"/>
  <c r="E321" i="1"/>
  <c r="H320" i="1"/>
  <c r="J320" i="1" s="1"/>
  <c r="K320" i="1" s="1"/>
  <c r="G320" i="1"/>
  <c r="E320" i="1"/>
  <c r="H319" i="1"/>
  <c r="J319" i="1" s="1"/>
  <c r="K319" i="1" s="1"/>
  <c r="G319" i="1"/>
  <c r="E319" i="1"/>
  <c r="H318" i="1"/>
  <c r="J318" i="1" s="1"/>
  <c r="K318" i="1" s="1"/>
  <c r="G318" i="1"/>
  <c r="E318" i="1"/>
  <c r="H317" i="1"/>
  <c r="J317" i="1" s="1"/>
  <c r="K317" i="1" s="1"/>
  <c r="G317" i="1"/>
  <c r="E317" i="1"/>
  <c r="H316" i="1"/>
  <c r="J316" i="1" s="1"/>
  <c r="K316" i="1" s="1"/>
  <c r="G316" i="1"/>
  <c r="E316" i="1"/>
  <c r="H315" i="1"/>
  <c r="J315" i="1" s="1"/>
  <c r="K315" i="1" s="1"/>
  <c r="G315" i="1"/>
  <c r="E315" i="1"/>
  <c r="H314" i="1"/>
  <c r="J314" i="1" s="1"/>
  <c r="K314" i="1" s="1"/>
  <c r="G314" i="1"/>
  <c r="E314" i="1"/>
  <c r="H313" i="1"/>
  <c r="J313" i="1" s="1"/>
  <c r="K313" i="1" s="1"/>
  <c r="G313" i="1"/>
  <c r="E313" i="1"/>
  <c r="H312" i="1"/>
  <c r="J312" i="1" s="1"/>
  <c r="K312" i="1" s="1"/>
  <c r="G312" i="1"/>
  <c r="E312" i="1"/>
  <c r="H311" i="1"/>
  <c r="J311" i="1" s="1"/>
  <c r="K311" i="1" s="1"/>
  <c r="G311" i="1"/>
  <c r="E311" i="1"/>
  <c r="H310" i="1"/>
  <c r="J310" i="1" s="1"/>
  <c r="K310" i="1" s="1"/>
  <c r="G310" i="1"/>
  <c r="E310" i="1"/>
  <c r="H309" i="1"/>
  <c r="J309" i="1" s="1"/>
  <c r="K309" i="1" s="1"/>
  <c r="G309" i="1"/>
  <c r="E309" i="1"/>
  <c r="H308" i="1"/>
  <c r="J308" i="1" s="1"/>
  <c r="K308" i="1" s="1"/>
  <c r="G308" i="1"/>
  <c r="E308" i="1"/>
  <c r="H307" i="1"/>
  <c r="J307" i="1" s="1"/>
  <c r="K307" i="1" s="1"/>
  <c r="G307" i="1"/>
  <c r="E307" i="1"/>
  <c r="H306" i="1"/>
  <c r="J306" i="1" s="1"/>
  <c r="K306" i="1" s="1"/>
  <c r="G306" i="1"/>
  <c r="E306" i="1"/>
  <c r="H305" i="1"/>
  <c r="J305" i="1" s="1"/>
  <c r="K305" i="1" s="1"/>
  <c r="G305" i="1"/>
  <c r="E305" i="1"/>
  <c r="H304" i="1"/>
  <c r="J304" i="1" s="1"/>
  <c r="K304" i="1" s="1"/>
  <c r="G304" i="1"/>
  <c r="E304" i="1"/>
  <c r="H303" i="1"/>
  <c r="J303" i="1" s="1"/>
  <c r="K303" i="1" s="1"/>
  <c r="G303" i="1"/>
  <c r="E303" i="1"/>
  <c r="H302" i="1"/>
  <c r="J302" i="1" s="1"/>
  <c r="K302" i="1" s="1"/>
  <c r="G302" i="1"/>
  <c r="E302" i="1"/>
  <c r="H301" i="1"/>
  <c r="J301" i="1" s="1"/>
  <c r="K301" i="1" s="1"/>
  <c r="G301" i="1"/>
  <c r="E301" i="1"/>
  <c r="H300" i="1"/>
  <c r="J300" i="1" s="1"/>
  <c r="K300" i="1" s="1"/>
  <c r="G300" i="1"/>
  <c r="E300" i="1"/>
  <c r="H299" i="1"/>
  <c r="J299" i="1" s="1"/>
  <c r="K299" i="1" s="1"/>
  <c r="G299" i="1"/>
  <c r="E299" i="1"/>
  <c r="H298" i="1"/>
  <c r="J298" i="1" s="1"/>
  <c r="K298" i="1" s="1"/>
  <c r="G298" i="1"/>
  <c r="E298" i="1"/>
  <c r="H297" i="1"/>
  <c r="J297" i="1" s="1"/>
  <c r="C297" i="1"/>
  <c r="H296" i="1"/>
  <c r="G296" i="1"/>
  <c r="E296" i="1"/>
  <c r="H295" i="1"/>
  <c r="G295" i="1"/>
  <c r="E295" i="1"/>
  <c r="H294" i="1"/>
  <c r="G294" i="1"/>
  <c r="E294" i="1"/>
  <c r="J278" i="1"/>
  <c r="K278" i="1" s="1"/>
  <c r="I278" i="1"/>
  <c r="G278" i="1"/>
  <c r="E278" i="1"/>
  <c r="J276" i="1"/>
  <c r="K276" i="1" s="1"/>
  <c r="I276" i="1"/>
  <c r="G276" i="1"/>
  <c r="E276" i="1"/>
  <c r="J275" i="1"/>
  <c r="K275" i="1" s="1"/>
  <c r="I275" i="1"/>
  <c r="G275" i="1"/>
  <c r="E275" i="1"/>
  <c r="J274" i="1"/>
  <c r="K274" i="1" s="1"/>
  <c r="I274" i="1"/>
  <c r="G274" i="1"/>
  <c r="E274" i="1"/>
  <c r="J272" i="1"/>
  <c r="K272" i="1" s="1"/>
  <c r="I272" i="1"/>
  <c r="G272" i="1"/>
  <c r="E272" i="1"/>
  <c r="K271" i="1"/>
  <c r="J271" i="1"/>
  <c r="I271" i="1"/>
  <c r="G271" i="1"/>
  <c r="E271" i="1"/>
  <c r="J270" i="1"/>
  <c r="K270" i="1" s="1"/>
  <c r="I270" i="1"/>
  <c r="G270" i="1"/>
  <c r="E270" i="1"/>
  <c r="J269" i="1"/>
  <c r="K269" i="1" s="1"/>
  <c r="I269" i="1"/>
  <c r="G269" i="1"/>
  <c r="E269" i="1"/>
  <c r="J268" i="1"/>
  <c r="K268" i="1" s="1"/>
  <c r="I268" i="1"/>
  <c r="G268" i="1"/>
  <c r="E268" i="1"/>
  <c r="J267" i="1"/>
  <c r="K267" i="1" s="1"/>
  <c r="I267" i="1"/>
  <c r="G267" i="1"/>
  <c r="E267" i="1"/>
  <c r="J266" i="1"/>
  <c r="K266" i="1" s="1"/>
  <c r="I266" i="1"/>
  <c r="G266" i="1"/>
  <c r="E266" i="1"/>
  <c r="J265" i="1"/>
  <c r="K265" i="1" s="1"/>
  <c r="I265" i="1"/>
  <c r="G265" i="1"/>
  <c r="E265" i="1"/>
  <c r="J264" i="1"/>
  <c r="K264" i="1" s="1"/>
  <c r="I264" i="1"/>
  <c r="G264" i="1"/>
  <c r="E264" i="1"/>
  <c r="K263" i="1"/>
  <c r="J263" i="1"/>
  <c r="I263" i="1"/>
  <c r="G263" i="1"/>
  <c r="E263" i="1"/>
  <c r="J262" i="1"/>
  <c r="K262" i="1" s="1"/>
  <c r="I262" i="1"/>
  <c r="G262" i="1"/>
  <c r="E262" i="1"/>
  <c r="J261" i="1"/>
  <c r="K261" i="1" s="1"/>
  <c r="I261" i="1"/>
  <c r="G261" i="1"/>
  <c r="E261" i="1"/>
  <c r="J260" i="1"/>
  <c r="K260" i="1" s="1"/>
  <c r="I260" i="1"/>
  <c r="G260" i="1"/>
  <c r="E260" i="1"/>
  <c r="J259" i="1"/>
  <c r="K259" i="1" s="1"/>
  <c r="I259" i="1"/>
  <c r="G259" i="1"/>
  <c r="E259" i="1"/>
  <c r="J258" i="1"/>
  <c r="K258" i="1" s="1"/>
  <c r="I258" i="1"/>
  <c r="G258" i="1"/>
  <c r="E258" i="1"/>
  <c r="J257" i="1"/>
  <c r="K257" i="1" s="1"/>
  <c r="I257" i="1"/>
  <c r="G257" i="1"/>
  <c r="E257" i="1"/>
  <c r="J256" i="1"/>
  <c r="K256" i="1" s="1"/>
  <c r="I256" i="1"/>
  <c r="G256" i="1"/>
  <c r="E256" i="1"/>
  <c r="J255" i="1"/>
  <c r="K255" i="1" s="1"/>
  <c r="I255" i="1"/>
  <c r="G255" i="1"/>
  <c r="E255" i="1"/>
  <c r="K254" i="1"/>
  <c r="J254" i="1"/>
  <c r="I254" i="1"/>
  <c r="G254" i="1"/>
  <c r="E254" i="1"/>
  <c r="J253" i="1"/>
  <c r="K253" i="1" s="1"/>
  <c r="I253" i="1"/>
  <c r="G253" i="1"/>
  <c r="E253" i="1"/>
  <c r="J252" i="1"/>
  <c r="K252" i="1" s="1"/>
  <c r="I252" i="1"/>
  <c r="G252" i="1"/>
  <c r="E252" i="1"/>
  <c r="J251" i="1"/>
  <c r="K251" i="1" s="1"/>
  <c r="I251" i="1"/>
  <c r="G251" i="1"/>
  <c r="E251" i="1"/>
  <c r="J250" i="1"/>
  <c r="K250" i="1" s="1"/>
  <c r="I250" i="1"/>
  <c r="G250" i="1"/>
  <c r="E250" i="1"/>
  <c r="J249" i="1"/>
  <c r="K249" i="1" s="1"/>
  <c r="I249" i="1"/>
  <c r="G249" i="1"/>
  <c r="E249" i="1"/>
  <c r="J248" i="1"/>
  <c r="K248" i="1" s="1"/>
  <c r="I248" i="1"/>
  <c r="G248" i="1"/>
  <c r="E248" i="1"/>
  <c r="J247" i="1"/>
  <c r="K247" i="1" s="1"/>
  <c r="I247" i="1"/>
  <c r="G247" i="1"/>
  <c r="E247" i="1"/>
  <c r="K246" i="1"/>
  <c r="J246" i="1"/>
  <c r="I246" i="1"/>
  <c r="G246" i="1"/>
  <c r="E246" i="1"/>
  <c r="J245" i="1"/>
  <c r="K245" i="1" s="1"/>
  <c r="I245" i="1"/>
  <c r="G245" i="1"/>
  <c r="E245" i="1"/>
  <c r="J244" i="1"/>
  <c r="K244" i="1" s="1"/>
  <c r="I244" i="1"/>
  <c r="G244" i="1"/>
  <c r="E244" i="1"/>
  <c r="J243" i="1"/>
  <c r="K243" i="1" s="1"/>
  <c r="I243" i="1"/>
  <c r="G243" i="1"/>
  <c r="E243" i="1"/>
  <c r="J242" i="1"/>
  <c r="K242" i="1" s="1"/>
  <c r="I242" i="1"/>
  <c r="G242" i="1"/>
  <c r="E242" i="1"/>
  <c r="J241" i="1"/>
  <c r="K241" i="1" s="1"/>
  <c r="I241" i="1"/>
  <c r="G241" i="1"/>
  <c r="E241" i="1"/>
  <c r="J240" i="1"/>
  <c r="K240" i="1" s="1"/>
  <c r="I240" i="1"/>
  <c r="G240" i="1"/>
  <c r="E240" i="1"/>
  <c r="J239" i="1"/>
  <c r="K239" i="1" s="1"/>
  <c r="I239" i="1"/>
  <c r="G239" i="1"/>
  <c r="E239" i="1"/>
  <c r="K238" i="1"/>
  <c r="J238" i="1"/>
  <c r="I238" i="1"/>
  <c r="G238" i="1"/>
  <c r="E238" i="1"/>
  <c r="J237" i="1"/>
  <c r="K237" i="1" s="1"/>
  <c r="G237" i="1"/>
  <c r="E237" i="1"/>
  <c r="J236" i="1"/>
  <c r="K236" i="1" s="1"/>
  <c r="I236" i="1"/>
  <c r="G236" i="1"/>
  <c r="E236" i="1"/>
  <c r="K235" i="1"/>
  <c r="J235" i="1"/>
  <c r="I235" i="1"/>
  <c r="G235" i="1"/>
  <c r="E235" i="1"/>
  <c r="J234" i="1"/>
  <c r="K234" i="1" s="1"/>
  <c r="I234" i="1"/>
  <c r="G234" i="1"/>
  <c r="E234" i="1"/>
  <c r="J233" i="1"/>
  <c r="K233" i="1" s="1"/>
  <c r="I233" i="1"/>
  <c r="G233" i="1"/>
  <c r="E233" i="1"/>
  <c r="J232" i="1"/>
  <c r="K232" i="1" s="1"/>
  <c r="I232" i="1"/>
  <c r="G232" i="1"/>
  <c r="E232" i="1"/>
  <c r="J231" i="1"/>
  <c r="K231" i="1" s="1"/>
  <c r="I231" i="1"/>
  <c r="G231" i="1"/>
  <c r="E231" i="1"/>
  <c r="J230" i="1"/>
  <c r="K230" i="1" s="1"/>
  <c r="I230" i="1"/>
  <c r="G230" i="1"/>
  <c r="E230" i="1"/>
  <c r="J229" i="1"/>
  <c r="K229" i="1" s="1"/>
  <c r="I229" i="1"/>
  <c r="G229" i="1"/>
  <c r="E229" i="1"/>
  <c r="J228" i="1"/>
  <c r="K228" i="1" s="1"/>
  <c r="I228" i="1"/>
  <c r="E228" i="1"/>
  <c r="J227" i="1"/>
  <c r="K227" i="1" s="1"/>
  <c r="I227" i="1"/>
  <c r="G227" i="1"/>
  <c r="E227" i="1"/>
  <c r="J226" i="1"/>
  <c r="K226" i="1" s="1"/>
  <c r="I226" i="1"/>
  <c r="G226" i="1"/>
  <c r="E226" i="1"/>
  <c r="J225" i="1"/>
  <c r="K225" i="1" s="1"/>
  <c r="I225" i="1"/>
  <c r="J224" i="1"/>
  <c r="K224" i="1" s="1"/>
  <c r="I224" i="1"/>
  <c r="G224" i="1"/>
  <c r="E224" i="1"/>
  <c r="J223" i="1"/>
  <c r="K223" i="1" s="1"/>
  <c r="I223" i="1"/>
  <c r="G223" i="1"/>
  <c r="E223" i="1"/>
  <c r="J222" i="1"/>
  <c r="K222" i="1" s="1"/>
  <c r="I222" i="1"/>
  <c r="G222" i="1"/>
  <c r="E222" i="1"/>
  <c r="J221" i="1"/>
  <c r="K221" i="1" s="1"/>
  <c r="I221" i="1"/>
  <c r="G221" i="1"/>
  <c r="E221" i="1"/>
  <c r="K220" i="1"/>
  <c r="J220" i="1"/>
  <c r="I220" i="1"/>
  <c r="G220" i="1"/>
  <c r="E220" i="1"/>
  <c r="J219" i="1"/>
  <c r="K219" i="1" s="1"/>
  <c r="I219" i="1"/>
  <c r="G219" i="1"/>
  <c r="E219" i="1"/>
  <c r="J217" i="1"/>
  <c r="K217" i="1" s="1"/>
  <c r="I217" i="1"/>
  <c r="G217" i="1"/>
  <c r="E217" i="1"/>
  <c r="J216" i="1"/>
  <c r="K216" i="1" s="1"/>
  <c r="I216" i="1"/>
  <c r="G216" i="1"/>
  <c r="E216" i="1"/>
  <c r="J215" i="1"/>
  <c r="K215" i="1" s="1"/>
  <c r="I215" i="1"/>
  <c r="G215" i="1"/>
  <c r="E215" i="1"/>
  <c r="J214" i="1"/>
  <c r="K214" i="1" s="1"/>
  <c r="I214" i="1"/>
  <c r="G214" i="1"/>
  <c r="E214" i="1"/>
  <c r="J213" i="1"/>
  <c r="K213" i="1" s="1"/>
  <c r="I213" i="1"/>
  <c r="G213" i="1"/>
  <c r="E213" i="1"/>
  <c r="J212" i="1"/>
  <c r="K212" i="1" s="1"/>
  <c r="I212" i="1"/>
  <c r="G212" i="1"/>
  <c r="E212" i="1"/>
  <c r="J211" i="1"/>
  <c r="K211" i="1" s="1"/>
  <c r="I211" i="1"/>
  <c r="G211" i="1"/>
  <c r="E211" i="1"/>
  <c r="J210" i="1"/>
  <c r="K210" i="1" s="1"/>
  <c r="I210" i="1"/>
  <c r="G210" i="1"/>
  <c r="E210" i="1"/>
  <c r="J209" i="1"/>
  <c r="K209" i="1" s="1"/>
  <c r="I209" i="1"/>
  <c r="G209" i="1"/>
  <c r="E209" i="1"/>
  <c r="J208" i="1"/>
  <c r="K208" i="1" s="1"/>
  <c r="I208" i="1"/>
  <c r="G208" i="1"/>
  <c r="E208" i="1"/>
  <c r="J207" i="1"/>
  <c r="K207" i="1" s="1"/>
  <c r="I207" i="1"/>
  <c r="G207" i="1"/>
  <c r="E207" i="1"/>
  <c r="J206" i="1"/>
  <c r="K206" i="1" s="1"/>
  <c r="I206" i="1"/>
  <c r="G206" i="1"/>
  <c r="E206" i="1"/>
  <c r="K205" i="1"/>
  <c r="J205" i="1"/>
  <c r="I205" i="1"/>
  <c r="G205" i="1"/>
  <c r="E205" i="1"/>
  <c r="J204" i="1"/>
  <c r="K204" i="1" s="1"/>
  <c r="I204" i="1"/>
  <c r="G204" i="1"/>
  <c r="E204" i="1"/>
  <c r="J203" i="1"/>
  <c r="K203" i="1" s="1"/>
  <c r="I203" i="1"/>
  <c r="G203" i="1"/>
  <c r="E203" i="1"/>
  <c r="J202" i="1"/>
  <c r="K202" i="1" s="1"/>
  <c r="I202" i="1"/>
  <c r="G202" i="1"/>
  <c r="E202" i="1"/>
  <c r="J201" i="1"/>
  <c r="K201" i="1" s="1"/>
  <c r="I201" i="1"/>
  <c r="G201" i="1"/>
  <c r="E201" i="1"/>
  <c r="J200" i="1"/>
  <c r="K200" i="1" s="1"/>
  <c r="I200" i="1"/>
  <c r="G200" i="1"/>
  <c r="E200" i="1"/>
  <c r="J199" i="1"/>
  <c r="K199" i="1" s="1"/>
  <c r="I199" i="1"/>
  <c r="G199" i="1"/>
  <c r="E199" i="1"/>
  <c r="J198" i="1"/>
  <c r="K198" i="1" s="1"/>
  <c r="I198" i="1"/>
  <c r="G198" i="1"/>
  <c r="E198" i="1"/>
  <c r="J197" i="1"/>
  <c r="K197" i="1" s="1"/>
  <c r="I197" i="1"/>
  <c r="G197" i="1"/>
  <c r="E197" i="1"/>
  <c r="J196" i="1"/>
  <c r="K196" i="1" s="1"/>
  <c r="I196" i="1"/>
  <c r="G196" i="1"/>
  <c r="E196" i="1"/>
  <c r="K195" i="1"/>
  <c r="J195" i="1"/>
  <c r="I195" i="1"/>
  <c r="G195" i="1"/>
  <c r="E195" i="1"/>
  <c r="L194" i="1"/>
  <c r="K194" i="1"/>
  <c r="J194" i="1"/>
  <c r="I194" i="1"/>
  <c r="G194" i="1"/>
  <c r="E194" i="1"/>
  <c r="J193" i="1"/>
  <c r="K193" i="1" s="1"/>
  <c r="I193" i="1"/>
  <c r="G193" i="1"/>
  <c r="E193" i="1"/>
  <c r="J192" i="1"/>
  <c r="K192" i="1" s="1"/>
  <c r="I192" i="1"/>
  <c r="G192" i="1"/>
  <c r="E192" i="1"/>
  <c r="J191" i="1"/>
  <c r="K191" i="1" s="1"/>
  <c r="I191" i="1"/>
  <c r="G191" i="1"/>
  <c r="E191" i="1"/>
  <c r="J190" i="1"/>
  <c r="K190" i="1" s="1"/>
  <c r="I190" i="1"/>
  <c r="G190" i="1"/>
  <c r="E190" i="1"/>
  <c r="J189" i="1"/>
  <c r="K189" i="1" s="1"/>
  <c r="I189" i="1"/>
  <c r="G189" i="1"/>
  <c r="E189" i="1"/>
  <c r="J188" i="1"/>
  <c r="K188" i="1" s="1"/>
  <c r="I188" i="1"/>
  <c r="G188" i="1"/>
  <c r="E188" i="1"/>
  <c r="J187" i="1"/>
  <c r="K187" i="1" s="1"/>
  <c r="I187" i="1"/>
  <c r="G187" i="1"/>
  <c r="E187" i="1"/>
  <c r="J186" i="1"/>
  <c r="K186" i="1" s="1"/>
  <c r="I186" i="1"/>
  <c r="G186" i="1"/>
  <c r="E186" i="1"/>
  <c r="L185" i="1"/>
  <c r="L186" i="1" s="1"/>
  <c r="J185" i="1"/>
  <c r="K185" i="1" s="1"/>
  <c r="I185" i="1"/>
  <c r="G185" i="1"/>
  <c r="E185" i="1"/>
  <c r="J184" i="1"/>
  <c r="K184" i="1" s="1"/>
  <c r="I184" i="1"/>
  <c r="G184" i="1"/>
  <c r="E184" i="1"/>
  <c r="J183" i="1"/>
  <c r="K183" i="1" s="1"/>
  <c r="I183" i="1"/>
  <c r="G183" i="1"/>
  <c r="E183" i="1"/>
  <c r="J182" i="1"/>
  <c r="K182" i="1" s="1"/>
  <c r="I182" i="1"/>
  <c r="G182" i="1"/>
  <c r="E182" i="1"/>
  <c r="J181" i="1"/>
  <c r="K181" i="1" s="1"/>
  <c r="I181" i="1"/>
  <c r="G181" i="1"/>
  <c r="E181" i="1"/>
  <c r="J180" i="1"/>
  <c r="K180" i="1" s="1"/>
  <c r="I180" i="1"/>
  <c r="G180" i="1"/>
  <c r="E180" i="1"/>
  <c r="J179" i="1"/>
  <c r="K179" i="1" s="1"/>
  <c r="I179" i="1"/>
  <c r="G179" i="1"/>
  <c r="E179" i="1"/>
  <c r="J178" i="1"/>
  <c r="K178" i="1" s="1"/>
  <c r="I178" i="1"/>
  <c r="G178" i="1"/>
  <c r="E178" i="1"/>
  <c r="J177" i="1"/>
  <c r="K177" i="1" s="1"/>
  <c r="I177" i="1"/>
  <c r="G177" i="1"/>
  <c r="E177" i="1"/>
  <c r="J175" i="1"/>
  <c r="K175" i="1" s="1"/>
  <c r="I175" i="1"/>
  <c r="G175" i="1"/>
  <c r="E175" i="1"/>
  <c r="J174" i="1"/>
  <c r="K174" i="1" s="1"/>
  <c r="I174" i="1"/>
  <c r="G174" i="1"/>
  <c r="E174" i="1"/>
  <c r="J173" i="1"/>
  <c r="K173" i="1" s="1"/>
  <c r="I173" i="1"/>
  <c r="G173" i="1"/>
  <c r="E173" i="1"/>
  <c r="J172" i="1"/>
  <c r="K172" i="1" s="1"/>
  <c r="I172" i="1"/>
  <c r="G172" i="1"/>
  <c r="E172" i="1"/>
  <c r="K171" i="1"/>
  <c r="J171" i="1"/>
  <c r="I171" i="1"/>
  <c r="G171" i="1"/>
  <c r="E171" i="1"/>
  <c r="J170" i="1"/>
  <c r="K170" i="1" s="1"/>
  <c r="I170" i="1"/>
  <c r="G170" i="1"/>
  <c r="E170" i="1"/>
  <c r="J169" i="1"/>
  <c r="K169" i="1" s="1"/>
  <c r="I169" i="1"/>
  <c r="G169" i="1"/>
  <c r="E169" i="1"/>
  <c r="J168" i="1"/>
  <c r="K168" i="1" s="1"/>
  <c r="I168" i="1"/>
  <c r="G168" i="1"/>
  <c r="E168" i="1"/>
  <c r="J167" i="1"/>
  <c r="K167" i="1" s="1"/>
  <c r="I167" i="1"/>
  <c r="G167" i="1"/>
  <c r="E167" i="1"/>
  <c r="J166" i="1"/>
  <c r="K166" i="1" s="1"/>
  <c r="I166" i="1"/>
  <c r="G166" i="1"/>
  <c r="E166" i="1"/>
  <c r="J165" i="1"/>
  <c r="K165" i="1" s="1"/>
  <c r="I165" i="1"/>
  <c r="G165" i="1"/>
  <c r="E165" i="1"/>
  <c r="J164" i="1"/>
  <c r="K164" i="1" s="1"/>
  <c r="I164" i="1"/>
  <c r="G164" i="1"/>
  <c r="E164" i="1"/>
  <c r="J163" i="1"/>
  <c r="K163" i="1" s="1"/>
  <c r="I163" i="1"/>
  <c r="G163" i="1"/>
  <c r="E163" i="1"/>
  <c r="J162" i="1"/>
  <c r="K162" i="1" s="1"/>
  <c r="I162" i="1"/>
  <c r="G162" i="1"/>
  <c r="E162" i="1"/>
  <c r="J161" i="1"/>
  <c r="K161" i="1" s="1"/>
  <c r="I161" i="1"/>
  <c r="G161" i="1"/>
  <c r="E161" i="1"/>
  <c r="J160" i="1"/>
  <c r="K160" i="1" s="1"/>
  <c r="I160" i="1"/>
  <c r="G160" i="1"/>
  <c r="E160" i="1"/>
  <c r="K159" i="1"/>
  <c r="J159" i="1"/>
  <c r="I159" i="1"/>
  <c r="G159" i="1"/>
  <c r="E159" i="1"/>
  <c r="J158" i="1"/>
  <c r="K158" i="1" s="1"/>
  <c r="I158" i="1"/>
  <c r="G158" i="1"/>
  <c r="E158" i="1"/>
  <c r="J157" i="1"/>
  <c r="K157" i="1" s="1"/>
  <c r="I157" i="1"/>
  <c r="G157" i="1"/>
  <c r="E157" i="1"/>
  <c r="J156" i="1"/>
  <c r="K156" i="1" s="1"/>
  <c r="I156" i="1"/>
  <c r="G156" i="1"/>
  <c r="E156" i="1"/>
  <c r="J155" i="1"/>
  <c r="K155" i="1" s="1"/>
  <c r="I155" i="1"/>
  <c r="G155" i="1"/>
  <c r="E155" i="1"/>
  <c r="J154" i="1"/>
  <c r="K154" i="1" s="1"/>
  <c r="I154" i="1"/>
  <c r="G154" i="1"/>
  <c r="E154" i="1"/>
  <c r="J153" i="1"/>
  <c r="K153" i="1" s="1"/>
  <c r="I153" i="1"/>
  <c r="G153" i="1"/>
  <c r="E153" i="1"/>
  <c r="J152" i="1"/>
  <c r="K152" i="1" s="1"/>
  <c r="I152" i="1"/>
  <c r="G152" i="1"/>
  <c r="E152" i="1"/>
  <c r="J151" i="1"/>
  <c r="K151" i="1" s="1"/>
  <c r="I151" i="1"/>
  <c r="G151" i="1"/>
  <c r="E151" i="1"/>
  <c r="J150" i="1"/>
  <c r="K150" i="1" s="1"/>
  <c r="G150" i="1"/>
  <c r="E150" i="1"/>
  <c r="J149" i="1"/>
  <c r="K149" i="1" s="1"/>
  <c r="I149" i="1"/>
  <c r="G149" i="1"/>
  <c r="E149" i="1"/>
  <c r="J148" i="1"/>
  <c r="K148" i="1" s="1"/>
  <c r="I148" i="1"/>
  <c r="G148" i="1"/>
  <c r="E148" i="1"/>
  <c r="J147" i="1"/>
  <c r="K147" i="1" s="1"/>
  <c r="I147" i="1"/>
  <c r="G147" i="1"/>
  <c r="E147" i="1"/>
  <c r="J146" i="1"/>
  <c r="K146" i="1" s="1"/>
  <c r="I146" i="1"/>
  <c r="G146" i="1"/>
  <c r="E146" i="1"/>
  <c r="J145" i="1"/>
  <c r="K145" i="1" s="1"/>
  <c r="I145" i="1"/>
  <c r="G145" i="1"/>
  <c r="E145" i="1"/>
  <c r="J144" i="1"/>
  <c r="K144" i="1" s="1"/>
  <c r="I144" i="1"/>
  <c r="E144" i="1"/>
  <c r="J143" i="1"/>
  <c r="K143" i="1" s="1"/>
  <c r="I143" i="1"/>
  <c r="G143" i="1"/>
  <c r="E143" i="1"/>
  <c r="J142" i="1"/>
  <c r="K142" i="1" s="1"/>
  <c r="I142" i="1"/>
  <c r="G142" i="1"/>
  <c r="E142" i="1"/>
  <c r="J141" i="1"/>
  <c r="K141" i="1" s="1"/>
  <c r="I141" i="1"/>
  <c r="G141" i="1"/>
  <c r="E141" i="1"/>
  <c r="J140" i="1"/>
  <c r="K140" i="1" s="1"/>
  <c r="I140" i="1"/>
  <c r="G140" i="1"/>
  <c r="E140" i="1"/>
  <c r="J139" i="1"/>
  <c r="K139" i="1" s="1"/>
  <c r="I139" i="1"/>
  <c r="G139" i="1"/>
  <c r="E139" i="1"/>
  <c r="J138" i="1"/>
  <c r="K138" i="1" s="1"/>
  <c r="G138" i="1"/>
  <c r="E138" i="1"/>
  <c r="J137" i="1"/>
  <c r="K137" i="1" s="1"/>
  <c r="I137" i="1"/>
  <c r="G137" i="1"/>
  <c r="E137" i="1"/>
  <c r="J136" i="1"/>
  <c r="K136" i="1" s="1"/>
  <c r="I136" i="1"/>
  <c r="G136" i="1"/>
  <c r="E136" i="1"/>
  <c r="J135" i="1"/>
  <c r="K135" i="1" s="1"/>
  <c r="I135" i="1"/>
  <c r="G135" i="1"/>
  <c r="E135" i="1"/>
  <c r="J134" i="1"/>
  <c r="K134" i="1" s="1"/>
  <c r="I134" i="1"/>
  <c r="G134" i="1"/>
  <c r="E134" i="1"/>
  <c r="J133" i="1"/>
  <c r="K133" i="1" s="1"/>
  <c r="I133" i="1"/>
  <c r="G133" i="1"/>
  <c r="E133" i="1"/>
  <c r="K132" i="1"/>
  <c r="J132" i="1"/>
  <c r="I132" i="1"/>
  <c r="G132" i="1"/>
  <c r="E132" i="1"/>
  <c r="J131" i="1"/>
  <c r="K131" i="1" s="1"/>
  <c r="I131" i="1"/>
  <c r="G131" i="1"/>
  <c r="E131" i="1"/>
  <c r="J130" i="1"/>
  <c r="K130" i="1" s="1"/>
  <c r="I130" i="1"/>
  <c r="G130" i="1"/>
  <c r="E130" i="1"/>
  <c r="J129" i="1"/>
  <c r="K129" i="1" s="1"/>
  <c r="I129" i="1"/>
  <c r="G129" i="1"/>
  <c r="E129" i="1"/>
  <c r="J128" i="1"/>
  <c r="K128" i="1" s="1"/>
  <c r="I128" i="1"/>
  <c r="G128" i="1"/>
  <c r="E128" i="1"/>
  <c r="J127" i="1"/>
  <c r="K127" i="1" s="1"/>
  <c r="I127" i="1"/>
  <c r="G127" i="1"/>
  <c r="E127" i="1"/>
  <c r="J125" i="1"/>
  <c r="K125" i="1" s="1"/>
  <c r="I125" i="1"/>
  <c r="G125" i="1"/>
  <c r="E125" i="1"/>
  <c r="J124" i="1"/>
  <c r="K124" i="1" s="1"/>
  <c r="I124" i="1"/>
  <c r="G124" i="1"/>
  <c r="E124" i="1"/>
  <c r="K123" i="1"/>
  <c r="J123" i="1"/>
  <c r="I123" i="1"/>
  <c r="G123" i="1"/>
  <c r="E123" i="1"/>
  <c r="J122" i="1"/>
  <c r="K122" i="1" s="1"/>
  <c r="I122" i="1"/>
  <c r="G122" i="1"/>
  <c r="E122" i="1"/>
  <c r="J121" i="1"/>
  <c r="K121" i="1" s="1"/>
  <c r="I121" i="1"/>
  <c r="G121" i="1"/>
  <c r="E121" i="1"/>
  <c r="J120" i="1"/>
  <c r="K120" i="1" s="1"/>
  <c r="I120" i="1"/>
  <c r="G120" i="1"/>
  <c r="E120" i="1"/>
  <c r="J119" i="1"/>
  <c r="K119" i="1" s="1"/>
  <c r="I119" i="1"/>
  <c r="G119" i="1"/>
  <c r="E119" i="1"/>
  <c r="J118" i="1"/>
  <c r="K118" i="1" s="1"/>
  <c r="I118" i="1"/>
  <c r="G118" i="1"/>
  <c r="E118" i="1"/>
  <c r="J117" i="1"/>
  <c r="K117" i="1" s="1"/>
  <c r="I117" i="1"/>
  <c r="G117" i="1"/>
  <c r="E117" i="1"/>
  <c r="J116" i="1"/>
  <c r="K116" i="1" s="1"/>
  <c r="I116" i="1"/>
  <c r="G116" i="1"/>
  <c r="E116" i="1"/>
  <c r="J115" i="1"/>
  <c r="K115" i="1" s="1"/>
  <c r="I115" i="1"/>
  <c r="G115" i="1"/>
  <c r="E115" i="1"/>
  <c r="J114" i="1"/>
  <c r="K114" i="1" s="1"/>
  <c r="I114" i="1"/>
  <c r="G114" i="1"/>
  <c r="E114" i="1"/>
  <c r="K113" i="1"/>
  <c r="J113" i="1"/>
  <c r="I113" i="1"/>
  <c r="G113" i="1"/>
  <c r="E113" i="1"/>
  <c r="J112" i="1"/>
  <c r="K112" i="1" s="1"/>
  <c r="I112" i="1"/>
  <c r="G112" i="1"/>
  <c r="E112" i="1"/>
  <c r="J111" i="1"/>
  <c r="K111" i="1" s="1"/>
  <c r="I111" i="1"/>
  <c r="G111" i="1"/>
  <c r="E111" i="1"/>
  <c r="J110" i="1"/>
  <c r="K110" i="1" s="1"/>
  <c r="I110" i="1"/>
  <c r="G110" i="1"/>
  <c r="E110" i="1"/>
  <c r="J109" i="1"/>
  <c r="K109" i="1" s="1"/>
  <c r="I109" i="1"/>
  <c r="G109" i="1"/>
  <c r="E109" i="1"/>
  <c r="J108" i="1"/>
  <c r="K108" i="1" s="1"/>
  <c r="I108" i="1"/>
  <c r="G108" i="1"/>
  <c r="E108" i="1"/>
  <c r="J107" i="1"/>
  <c r="K107" i="1" s="1"/>
  <c r="I107" i="1"/>
  <c r="G107" i="1"/>
  <c r="J106" i="1"/>
  <c r="K106" i="1" s="1"/>
  <c r="I106" i="1"/>
  <c r="G106" i="1"/>
  <c r="E106" i="1"/>
  <c r="J105" i="1"/>
  <c r="K105" i="1" s="1"/>
  <c r="I105" i="1"/>
  <c r="G105" i="1"/>
  <c r="E105" i="1"/>
  <c r="J104" i="1"/>
  <c r="K104" i="1" s="1"/>
  <c r="I104" i="1"/>
  <c r="G104" i="1"/>
  <c r="E104" i="1"/>
  <c r="J103" i="1"/>
  <c r="K103" i="1" s="1"/>
  <c r="I103" i="1"/>
  <c r="G103" i="1"/>
  <c r="E103" i="1"/>
  <c r="J102" i="1"/>
  <c r="K102" i="1" s="1"/>
  <c r="I102" i="1"/>
  <c r="G102" i="1"/>
  <c r="E102" i="1"/>
  <c r="J101" i="1"/>
  <c r="K101" i="1" s="1"/>
  <c r="I101" i="1"/>
  <c r="G101" i="1"/>
  <c r="E101" i="1"/>
  <c r="J100" i="1"/>
  <c r="K100" i="1" s="1"/>
  <c r="I100" i="1"/>
  <c r="G100" i="1"/>
  <c r="E100" i="1"/>
  <c r="J99" i="1"/>
  <c r="K99" i="1" s="1"/>
  <c r="I99" i="1"/>
  <c r="G99" i="1"/>
  <c r="E99" i="1"/>
  <c r="K98" i="1"/>
  <c r="J98" i="1"/>
  <c r="I98" i="1"/>
  <c r="G98" i="1"/>
  <c r="E98" i="1"/>
  <c r="J97" i="1"/>
  <c r="K97" i="1" s="1"/>
  <c r="I97" i="1"/>
  <c r="G97" i="1"/>
  <c r="E97" i="1"/>
  <c r="J96" i="1"/>
  <c r="K96" i="1" s="1"/>
  <c r="I96" i="1"/>
  <c r="G96" i="1"/>
  <c r="E96" i="1"/>
  <c r="J95" i="1"/>
  <c r="K95" i="1" s="1"/>
  <c r="I95" i="1"/>
  <c r="G95" i="1"/>
  <c r="E95" i="1"/>
  <c r="J94" i="1"/>
  <c r="K94" i="1" s="1"/>
  <c r="I94" i="1"/>
  <c r="G94" i="1"/>
  <c r="E94" i="1"/>
  <c r="J93" i="1"/>
  <c r="K93" i="1" s="1"/>
  <c r="I93" i="1"/>
  <c r="G93" i="1"/>
  <c r="E93" i="1"/>
  <c r="J92" i="1"/>
  <c r="K92" i="1" s="1"/>
  <c r="I92" i="1"/>
  <c r="G92" i="1"/>
  <c r="E92" i="1"/>
  <c r="J91" i="1"/>
  <c r="K91" i="1" s="1"/>
  <c r="I91" i="1"/>
  <c r="G91" i="1"/>
  <c r="E91" i="1"/>
  <c r="J90" i="1"/>
  <c r="K90" i="1" s="1"/>
  <c r="I90" i="1"/>
  <c r="G90" i="1"/>
  <c r="E90" i="1"/>
  <c r="J89" i="1"/>
  <c r="K89" i="1" s="1"/>
  <c r="I89" i="1"/>
  <c r="G89" i="1"/>
  <c r="E89" i="1"/>
  <c r="K88" i="1"/>
  <c r="J88" i="1"/>
  <c r="I88" i="1"/>
  <c r="G88" i="1"/>
  <c r="E88" i="1"/>
  <c r="J87" i="1"/>
  <c r="K87" i="1" s="1"/>
  <c r="I87" i="1"/>
  <c r="G87" i="1"/>
  <c r="E87" i="1"/>
  <c r="J86" i="1"/>
  <c r="K86" i="1" s="1"/>
  <c r="I86" i="1"/>
  <c r="G86" i="1"/>
  <c r="E86" i="1"/>
  <c r="J85" i="1"/>
  <c r="K85" i="1" s="1"/>
  <c r="I85" i="1"/>
  <c r="G85" i="1"/>
  <c r="E85" i="1"/>
  <c r="J84" i="1"/>
  <c r="K84" i="1" s="1"/>
  <c r="I84" i="1"/>
  <c r="G84" i="1"/>
  <c r="E84" i="1"/>
  <c r="J83" i="1"/>
  <c r="K83" i="1" s="1"/>
  <c r="I83" i="1"/>
  <c r="G83" i="1"/>
  <c r="E83" i="1"/>
  <c r="J82" i="1"/>
  <c r="K82" i="1" s="1"/>
  <c r="I82" i="1"/>
  <c r="G82" i="1"/>
  <c r="E82" i="1"/>
  <c r="J81" i="1"/>
  <c r="K81" i="1" s="1"/>
  <c r="I81" i="1"/>
  <c r="G81" i="1"/>
  <c r="E81" i="1"/>
  <c r="J80" i="1"/>
  <c r="K80" i="1" s="1"/>
  <c r="I80" i="1"/>
  <c r="G80" i="1"/>
  <c r="E80" i="1"/>
  <c r="J79" i="1"/>
  <c r="K79" i="1" s="1"/>
  <c r="I79" i="1"/>
  <c r="G79" i="1"/>
  <c r="E79" i="1"/>
  <c r="J78" i="1"/>
  <c r="K78" i="1" s="1"/>
  <c r="I78" i="1"/>
  <c r="G78" i="1"/>
  <c r="E78" i="1"/>
  <c r="J77" i="1"/>
  <c r="K77" i="1" s="1"/>
  <c r="I77" i="1"/>
  <c r="G77" i="1"/>
  <c r="E77" i="1"/>
  <c r="K76" i="1"/>
  <c r="J76" i="1"/>
  <c r="I76" i="1"/>
  <c r="G76" i="1"/>
  <c r="E76" i="1"/>
  <c r="J75" i="1"/>
  <c r="K75" i="1" s="1"/>
  <c r="I75" i="1"/>
  <c r="G75" i="1"/>
  <c r="E75" i="1"/>
  <c r="J74" i="1"/>
  <c r="K74" i="1" s="1"/>
  <c r="I74" i="1"/>
  <c r="G74" i="1"/>
  <c r="E74" i="1"/>
  <c r="J73" i="1"/>
  <c r="K73" i="1" s="1"/>
  <c r="I73" i="1"/>
  <c r="G73" i="1"/>
  <c r="E73" i="1"/>
  <c r="J72" i="1"/>
  <c r="K72" i="1" s="1"/>
  <c r="I72" i="1"/>
  <c r="G72" i="1"/>
  <c r="E72" i="1"/>
  <c r="J71" i="1"/>
  <c r="K71" i="1" s="1"/>
  <c r="I71" i="1"/>
  <c r="G71" i="1"/>
  <c r="E71" i="1"/>
  <c r="J70" i="1"/>
  <c r="K70" i="1" s="1"/>
  <c r="I70" i="1"/>
  <c r="G70" i="1"/>
  <c r="E70" i="1"/>
  <c r="J69" i="1"/>
  <c r="K69" i="1" s="1"/>
  <c r="I69" i="1"/>
  <c r="G69" i="1"/>
  <c r="E69" i="1"/>
  <c r="K68" i="1"/>
  <c r="J68" i="1"/>
  <c r="I68" i="1"/>
  <c r="G68" i="1"/>
  <c r="E68" i="1"/>
  <c r="J67" i="1"/>
  <c r="K67" i="1" s="1"/>
  <c r="I67" i="1"/>
  <c r="G67" i="1"/>
  <c r="E67" i="1"/>
  <c r="J66" i="1"/>
  <c r="K66" i="1" s="1"/>
  <c r="I66" i="1"/>
  <c r="G66" i="1"/>
  <c r="E66" i="1"/>
  <c r="J65" i="1"/>
  <c r="K65" i="1" s="1"/>
  <c r="I65" i="1"/>
  <c r="G65" i="1"/>
  <c r="E65" i="1"/>
  <c r="J64" i="1"/>
  <c r="K64" i="1" s="1"/>
  <c r="I64" i="1"/>
  <c r="G64" i="1"/>
  <c r="E64" i="1"/>
  <c r="J63" i="1"/>
  <c r="K63" i="1" s="1"/>
  <c r="I63" i="1"/>
  <c r="G63" i="1"/>
  <c r="E63" i="1"/>
  <c r="J62" i="1"/>
  <c r="K62" i="1" s="1"/>
  <c r="I62" i="1"/>
  <c r="G62" i="1"/>
  <c r="E62" i="1"/>
  <c r="J61" i="1"/>
  <c r="K61" i="1" s="1"/>
  <c r="I61" i="1"/>
  <c r="G61" i="1"/>
  <c r="E61" i="1"/>
  <c r="J60" i="1"/>
  <c r="K60" i="1" s="1"/>
  <c r="I60" i="1"/>
  <c r="G60" i="1"/>
  <c r="E60" i="1"/>
  <c r="J59" i="1"/>
  <c r="K59" i="1" s="1"/>
  <c r="I59" i="1"/>
  <c r="G59" i="1"/>
  <c r="E59" i="1"/>
  <c r="J58" i="1"/>
  <c r="K58" i="1" s="1"/>
  <c r="I58" i="1"/>
  <c r="G58" i="1"/>
  <c r="E58" i="1"/>
  <c r="J57" i="1"/>
  <c r="K57" i="1" s="1"/>
  <c r="I57" i="1"/>
  <c r="G57" i="1"/>
  <c r="E57" i="1"/>
  <c r="J56" i="1"/>
  <c r="K56" i="1" s="1"/>
  <c r="I56" i="1"/>
  <c r="G56" i="1"/>
  <c r="E56" i="1"/>
  <c r="J55" i="1"/>
  <c r="K55" i="1" s="1"/>
  <c r="I55" i="1"/>
  <c r="G55" i="1"/>
  <c r="E55" i="1"/>
  <c r="J54" i="1"/>
  <c r="K54" i="1" s="1"/>
  <c r="I54" i="1"/>
  <c r="G54" i="1"/>
  <c r="E54" i="1"/>
  <c r="J53" i="1"/>
  <c r="K53" i="1" s="1"/>
  <c r="I53" i="1"/>
  <c r="G53" i="1"/>
  <c r="E53" i="1"/>
  <c r="J52" i="1"/>
  <c r="K52" i="1" s="1"/>
  <c r="I52" i="1"/>
  <c r="G52" i="1"/>
  <c r="E52" i="1"/>
  <c r="J51" i="1"/>
  <c r="K51" i="1" s="1"/>
  <c r="I51" i="1"/>
  <c r="G51" i="1"/>
  <c r="E51" i="1"/>
  <c r="J50" i="1"/>
  <c r="K50" i="1" s="1"/>
  <c r="I50" i="1"/>
  <c r="G50" i="1"/>
  <c r="E50" i="1"/>
  <c r="J49" i="1"/>
  <c r="K49" i="1" s="1"/>
  <c r="I49" i="1"/>
  <c r="G49" i="1"/>
  <c r="E49" i="1"/>
  <c r="K48" i="1"/>
  <c r="J48" i="1"/>
  <c r="I48" i="1"/>
  <c r="G48" i="1"/>
  <c r="E48" i="1"/>
  <c r="J47" i="1"/>
  <c r="K47" i="1" s="1"/>
  <c r="I47" i="1"/>
  <c r="G47" i="1"/>
  <c r="E47" i="1"/>
  <c r="J46" i="1"/>
  <c r="K46" i="1" s="1"/>
  <c r="I46" i="1"/>
  <c r="G46" i="1"/>
  <c r="E46" i="1"/>
  <c r="J45" i="1"/>
  <c r="K45" i="1" s="1"/>
  <c r="I45" i="1"/>
  <c r="G45" i="1"/>
  <c r="E45" i="1"/>
  <c r="J44" i="1"/>
  <c r="K44" i="1" s="1"/>
  <c r="I44" i="1"/>
  <c r="G44" i="1"/>
  <c r="E44" i="1"/>
  <c r="J43" i="1"/>
  <c r="K43" i="1" s="1"/>
  <c r="I43" i="1"/>
  <c r="G43" i="1"/>
  <c r="E43" i="1"/>
  <c r="J42" i="1"/>
  <c r="K42" i="1" s="1"/>
  <c r="I42" i="1"/>
  <c r="G42" i="1"/>
  <c r="E42" i="1"/>
  <c r="J41" i="1"/>
  <c r="K41" i="1" s="1"/>
  <c r="I41" i="1"/>
  <c r="G41" i="1"/>
  <c r="E41" i="1"/>
  <c r="J40" i="1"/>
  <c r="K40" i="1" s="1"/>
  <c r="I40" i="1"/>
  <c r="G40" i="1"/>
  <c r="E40" i="1"/>
  <c r="J39" i="1"/>
  <c r="K39" i="1" s="1"/>
  <c r="I39" i="1"/>
  <c r="G39" i="1"/>
  <c r="E39" i="1"/>
  <c r="J38" i="1"/>
  <c r="K38" i="1" s="1"/>
  <c r="I38" i="1"/>
  <c r="G38" i="1"/>
  <c r="E38" i="1"/>
  <c r="J37" i="1"/>
  <c r="K37" i="1" s="1"/>
  <c r="I37" i="1"/>
  <c r="G37" i="1"/>
  <c r="E37" i="1"/>
  <c r="J36" i="1"/>
  <c r="K36" i="1" s="1"/>
  <c r="I36" i="1"/>
  <c r="G36" i="1"/>
  <c r="E36" i="1"/>
  <c r="J35" i="1"/>
  <c r="K35" i="1" s="1"/>
  <c r="I35" i="1"/>
  <c r="G35" i="1"/>
  <c r="E35" i="1"/>
  <c r="K34" i="1"/>
  <c r="J34" i="1"/>
  <c r="I34" i="1"/>
  <c r="G34" i="1"/>
  <c r="E34" i="1"/>
  <c r="J33" i="1"/>
  <c r="K33" i="1" s="1"/>
  <c r="I33" i="1"/>
  <c r="G33" i="1"/>
  <c r="E33" i="1"/>
  <c r="J32" i="1"/>
  <c r="K32" i="1" s="1"/>
  <c r="I32" i="1"/>
  <c r="G32" i="1"/>
  <c r="E32" i="1"/>
  <c r="J31" i="1"/>
  <c r="K31" i="1" s="1"/>
  <c r="I31" i="1"/>
  <c r="G31" i="1"/>
  <c r="E31" i="1"/>
  <c r="J30" i="1"/>
  <c r="K30" i="1" s="1"/>
  <c r="I30" i="1"/>
  <c r="G30" i="1"/>
  <c r="E30" i="1"/>
  <c r="J29" i="1"/>
  <c r="K29" i="1" s="1"/>
  <c r="I29" i="1"/>
  <c r="G29" i="1"/>
  <c r="E29" i="1"/>
  <c r="J28" i="1"/>
  <c r="K28" i="1" s="1"/>
  <c r="I28" i="1"/>
  <c r="G28" i="1"/>
  <c r="E28" i="1"/>
  <c r="J27" i="1"/>
  <c r="K27" i="1" s="1"/>
  <c r="I27" i="1"/>
  <c r="G27" i="1"/>
  <c r="E27" i="1"/>
  <c r="J26" i="1"/>
  <c r="K26" i="1" s="1"/>
  <c r="I26" i="1"/>
  <c r="G26" i="1"/>
  <c r="E26" i="1"/>
  <c r="J25" i="1"/>
  <c r="K25" i="1" s="1"/>
  <c r="I25" i="1"/>
  <c r="G25" i="1"/>
  <c r="E25" i="1"/>
  <c r="J24" i="1"/>
  <c r="K24" i="1" s="1"/>
  <c r="I24" i="1"/>
  <c r="G24" i="1"/>
  <c r="E24" i="1"/>
  <c r="J23" i="1"/>
  <c r="K23" i="1" s="1"/>
  <c r="I23" i="1"/>
  <c r="G23" i="1"/>
  <c r="E23" i="1"/>
  <c r="J22" i="1"/>
  <c r="K22" i="1" s="1"/>
  <c r="I22" i="1"/>
  <c r="G22" i="1"/>
  <c r="E22" i="1"/>
  <c r="J21" i="1"/>
  <c r="K21" i="1" s="1"/>
  <c r="I21" i="1"/>
  <c r="G21" i="1"/>
  <c r="E21" i="1"/>
  <c r="K20" i="1"/>
  <c r="J20" i="1"/>
  <c r="I20" i="1"/>
  <c r="G20" i="1"/>
  <c r="E20" i="1"/>
  <c r="J19" i="1"/>
  <c r="K19" i="1" s="1"/>
  <c r="G19" i="1"/>
  <c r="E19" i="1"/>
  <c r="J18" i="1"/>
  <c r="K18" i="1" s="1"/>
  <c r="I18" i="1"/>
  <c r="G18" i="1"/>
  <c r="E18" i="1"/>
  <c r="J17" i="1"/>
  <c r="K17" i="1" s="1"/>
  <c r="I17" i="1"/>
  <c r="G17" i="1"/>
  <c r="E17" i="1"/>
  <c r="J16" i="1"/>
  <c r="K16" i="1" s="1"/>
  <c r="I16" i="1"/>
  <c r="G16" i="1"/>
  <c r="E16" i="1"/>
  <c r="J15" i="1"/>
  <c r="K15" i="1" s="1"/>
  <c r="I15" i="1"/>
  <c r="G15" i="1"/>
  <c r="E15" i="1"/>
  <c r="J14" i="1"/>
  <c r="K14" i="1" s="1"/>
  <c r="I14" i="1"/>
  <c r="G14" i="1"/>
  <c r="E14" i="1"/>
  <c r="K13" i="1"/>
  <c r="J13" i="1"/>
  <c r="I13" i="1"/>
  <c r="G13" i="1"/>
  <c r="E13" i="1"/>
  <c r="J12" i="1"/>
  <c r="K12" i="1" s="1"/>
  <c r="I12" i="1"/>
  <c r="G12" i="1"/>
  <c r="E12" i="1"/>
  <c r="J11" i="1"/>
  <c r="K11" i="1" s="1"/>
  <c r="I11" i="1"/>
  <c r="G11" i="1"/>
  <c r="E11" i="1"/>
  <c r="J10" i="1"/>
  <c r="K10" i="1" s="1"/>
  <c r="I10" i="1"/>
  <c r="G10" i="1"/>
  <c r="E10" i="1"/>
  <c r="J9" i="1"/>
  <c r="K9" i="1" s="1"/>
  <c r="I9" i="1"/>
  <c r="G9" i="1"/>
  <c r="E9" i="1"/>
  <c r="J8" i="1"/>
  <c r="K8" i="1" s="1"/>
  <c r="I8" i="1"/>
  <c r="G8" i="1"/>
  <c r="J7" i="1"/>
  <c r="K7" i="1" s="1"/>
  <c r="I7" i="1"/>
  <c r="G7" i="1"/>
  <c r="E7" i="1"/>
  <c r="J6" i="1"/>
  <c r="K6" i="1" s="1"/>
  <c r="I6" i="1"/>
  <c r="G6" i="1"/>
  <c r="E6" i="1"/>
  <c r="E2" i="1"/>
  <c r="I331" i="1" l="1"/>
  <c r="I333" i="1"/>
  <c r="I334" i="1"/>
  <c r="I335" i="1"/>
  <c r="I336" i="1"/>
  <c r="I337" i="1"/>
  <c r="I338" i="1"/>
  <c r="I339" i="1"/>
  <c r="I340" i="1"/>
  <c r="I341" i="1"/>
  <c r="J356" i="1"/>
  <c r="K356" i="1" s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2" i="1"/>
  <c r="J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7" i="1"/>
  <c r="I2" i="1"/>
  <c r="K2" i="1"/>
  <c r="G2" i="1"/>
  <c r="I294" i="1"/>
  <c r="J294" i="1"/>
  <c r="K294" i="1" s="1"/>
  <c r="I296" i="1"/>
  <c r="J296" i="1"/>
  <c r="K296" i="1" s="1"/>
  <c r="I295" i="1"/>
  <c r="J295" i="1"/>
  <c r="K295" i="1" s="1"/>
  <c r="E297" i="1"/>
  <c r="I297" i="1"/>
  <c r="G297" i="1"/>
  <c r="K297" i="1"/>
  <c r="J358" i="1"/>
  <c r="K358" i="1" s="1"/>
</calcChain>
</file>

<file path=xl/sharedStrings.xml><?xml version="1.0" encoding="utf-8"?>
<sst xmlns="http://schemas.openxmlformats.org/spreadsheetml/2006/main" count="724" uniqueCount="396">
  <si>
    <t>STOK OPNAME BHP MARET 2023</t>
  </si>
  <si>
    <t>NAMA BARANG</t>
  </si>
  <si>
    <t>SATUAN</t>
  </si>
  <si>
    <t>HARGA SATUAN</t>
  </si>
  <si>
    <t>STOK AWAL</t>
  </si>
  <si>
    <t>MASUK</t>
  </si>
  <si>
    <t>KELUAR</t>
  </si>
  <si>
    <t>STOK AKHIR</t>
  </si>
  <si>
    <t>JML</t>
  </si>
  <si>
    <t>HARGA</t>
  </si>
  <si>
    <t>ATK</t>
  </si>
  <si>
    <t>HVS F4</t>
  </si>
  <si>
    <t>Rim</t>
  </si>
  <si>
    <t>HVS A4</t>
  </si>
  <si>
    <t>Box File Atom BIG</t>
  </si>
  <si>
    <t>Buah</t>
  </si>
  <si>
    <t>Kertas bufalo Hijau</t>
  </si>
  <si>
    <t>pack</t>
  </si>
  <si>
    <t>Kertas bufalo Kuning</t>
  </si>
  <si>
    <t>Amplop coklat gaji</t>
  </si>
  <si>
    <t>Amplop coklat B</t>
  </si>
  <si>
    <t>Clip trigonal kecil</t>
  </si>
  <si>
    <t>Isi cutter</t>
  </si>
  <si>
    <t>Double tape</t>
  </si>
  <si>
    <t>Paperfastener</t>
  </si>
  <si>
    <t>Pack</t>
  </si>
  <si>
    <t>Penghapus papan tulis</t>
  </si>
  <si>
    <t>Spidol Whiteboard Hitam</t>
  </si>
  <si>
    <t>Spidol Whiteboard Merah</t>
  </si>
  <si>
    <t xml:space="preserve">Spidol permanen </t>
  </si>
  <si>
    <t>Spidol besar</t>
  </si>
  <si>
    <t>Spidol Kecil  Hitam</t>
  </si>
  <si>
    <t>Spidol Kecil Merah</t>
  </si>
  <si>
    <t>Spidol Kecil Hijau</t>
  </si>
  <si>
    <t>Solasi Kecil</t>
  </si>
  <si>
    <t>Solasi Besar</t>
  </si>
  <si>
    <t>Lakban bening</t>
  </si>
  <si>
    <t>Lakban hitam</t>
  </si>
  <si>
    <t>Lakban Kertas</t>
  </si>
  <si>
    <t>Lakban Merah</t>
  </si>
  <si>
    <t>Amplop besar cetak</t>
  </si>
  <si>
    <t>Amplop sedang cetak</t>
  </si>
  <si>
    <t>Amplop CT Scan</t>
  </si>
  <si>
    <t>lembar</t>
  </si>
  <si>
    <t>Amplop RO Sedang</t>
  </si>
  <si>
    <t>Kwitansi gelatik kecil</t>
  </si>
  <si>
    <t>bendel</t>
  </si>
  <si>
    <t>Kwitansi gelatik Besar</t>
  </si>
  <si>
    <t>Tinta Stempel Trodat</t>
  </si>
  <si>
    <t>Tinta Stempel Zenith Ungu</t>
  </si>
  <si>
    <t>Tinta Print Kuning</t>
  </si>
  <si>
    <t>botol</t>
  </si>
  <si>
    <t>Tinta Print Merah</t>
  </si>
  <si>
    <t>Tinta Print Biru</t>
  </si>
  <si>
    <t>Tinta Print Hitam</t>
  </si>
  <si>
    <t>Tinta Epson Hitam 003</t>
  </si>
  <si>
    <t>Tinta Epson Magenta 003</t>
  </si>
  <si>
    <t>Tinta Epson Kuning 003</t>
  </si>
  <si>
    <t>Tinta Epson Biru 003</t>
  </si>
  <si>
    <t>Tinta spidol Hitam WB</t>
  </si>
  <si>
    <t>Tinta Spidol permanen</t>
  </si>
  <si>
    <t>Lem cair</t>
  </si>
  <si>
    <t>buah</t>
  </si>
  <si>
    <t>Lem Stik</t>
  </si>
  <si>
    <t>tip-x cair</t>
  </si>
  <si>
    <t>tip-x geser</t>
  </si>
  <si>
    <t>tape dispenser besar</t>
  </si>
  <si>
    <t>tape dispenser kecil</t>
  </si>
  <si>
    <t>porforator Besar</t>
  </si>
  <si>
    <t>Porforator Kecil</t>
  </si>
  <si>
    <t>staples</t>
  </si>
  <si>
    <t>Staples Besar</t>
  </si>
  <si>
    <t>Isi staples besar</t>
  </si>
  <si>
    <t>Isi staples kecil</t>
  </si>
  <si>
    <t>Isi staples jilid</t>
  </si>
  <si>
    <t>Staples Mini</t>
  </si>
  <si>
    <t>Bantalan Stempel</t>
  </si>
  <si>
    <t>Pembatas Buku</t>
  </si>
  <si>
    <t>set</t>
  </si>
  <si>
    <t>Kertas potong 3</t>
  </si>
  <si>
    <t>Kertas potong 4</t>
  </si>
  <si>
    <t>Kertas potong 2</t>
  </si>
  <si>
    <t>Stopmap felita</t>
  </si>
  <si>
    <t>Stopmap Kertas</t>
  </si>
  <si>
    <t>Buku kwarto isi 100</t>
  </si>
  <si>
    <t>buku kwarto isi 200</t>
  </si>
  <si>
    <t>Buku folio isi 100</t>
  </si>
  <si>
    <t>buku folio isi 200</t>
  </si>
  <si>
    <t>buku tulis</t>
  </si>
  <si>
    <t>buku tulis big boss</t>
  </si>
  <si>
    <t>pensil biru merah</t>
  </si>
  <si>
    <t>Pulpen</t>
  </si>
  <si>
    <t>Pulpen Tempel / Meja</t>
  </si>
  <si>
    <t>Pulpen Merah</t>
  </si>
  <si>
    <t>penggaris Besi</t>
  </si>
  <si>
    <t>gunting tanggung</t>
  </si>
  <si>
    <t>gunting kecil putih</t>
  </si>
  <si>
    <t>Sillet</t>
  </si>
  <si>
    <t>Post it besar</t>
  </si>
  <si>
    <t>Post it kecil warna</t>
  </si>
  <si>
    <t>Cutter</t>
  </si>
  <si>
    <t>Label harga 112</t>
  </si>
  <si>
    <t>Cartridge Hitam</t>
  </si>
  <si>
    <t>Cartridge Warna</t>
  </si>
  <si>
    <t>Gantungan Stetoskop</t>
  </si>
  <si>
    <t>Document Keeper Restleting</t>
  </si>
  <si>
    <t>Toner Fotocopy</t>
  </si>
  <si>
    <t>Binder Clip 107</t>
  </si>
  <si>
    <t>Binder Clip 155</t>
  </si>
  <si>
    <t>Binder Clip 260</t>
  </si>
  <si>
    <t>Remover SDI</t>
  </si>
  <si>
    <t>Mika Jilid</t>
  </si>
  <si>
    <t>Mika Id-Card</t>
  </si>
  <si>
    <t>Pin Yoyo Id-Card</t>
  </si>
  <si>
    <t>Kertas Triple laborat</t>
  </si>
  <si>
    <t xml:space="preserve">Kertas Foto </t>
  </si>
  <si>
    <t>Kertas Sertifikat</t>
  </si>
  <si>
    <t>Clear Holder 20 Merah</t>
  </si>
  <si>
    <t>Clear Holder 20 Kuning</t>
  </si>
  <si>
    <t>Clear Holder 60 Merah</t>
  </si>
  <si>
    <t>Clear Holder 60 Kuning</t>
  </si>
  <si>
    <t>Clear Holder 20 Hijau</t>
  </si>
  <si>
    <t>Tancapan Kertas</t>
  </si>
  <si>
    <t>Sheet Protector</t>
  </si>
  <si>
    <t>Lembar</t>
  </si>
  <si>
    <t>Baterai Besar</t>
  </si>
  <si>
    <t>Baterai Tanggung</t>
  </si>
  <si>
    <t>Baterai A3</t>
  </si>
  <si>
    <t>Baterai A2</t>
  </si>
  <si>
    <t>Baterai Jumbo</t>
  </si>
  <si>
    <t>Kertas Thermal Antrian</t>
  </si>
  <si>
    <t>Kwitansi Gelatik Tanggung</t>
  </si>
  <si>
    <t>Flashdisk 32 G</t>
  </si>
  <si>
    <t>Tali Id-card Penunggu pasien</t>
  </si>
  <si>
    <t>Power Supply</t>
  </si>
  <si>
    <t>Keyboard + Mouse</t>
  </si>
  <si>
    <t>Odner Bantex</t>
  </si>
  <si>
    <t>Plastik Lamintaing</t>
  </si>
  <si>
    <t>Label Identitas Pasien</t>
  </si>
  <si>
    <t>Roll</t>
  </si>
  <si>
    <t>Penjepit Id-Card</t>
  </si>
  <si>
    <t>Label farmasi</t>
  </si>
  <si>
    <t>BLANGKO</t>
  </si>
  <si>
    <t>Status Rawat Inap</t>
  </si>
  <si>
    <t>Bendel</t>
  </si>
  <si>
    <t>Status Rawat Jalan</t>
  </si>
  <si>
    <t>Map CM</t>
  </si>
  <si>
    <t>Resep RJ Bolak Balik</t>
  </si>
  <si>
    <t>Resume Medis RJ Rangkap</t>
  </si>
  <si>
    <t>Surat Kontrol RJ</t>
  </si>
  <si>
    <t>Blangko Alkes</t>
  </si>
  <si>
    <t>Blangko Laborat</t>
  </si>
  <si>
    <t>Blangko Radiologi</t>
  </si>
  <si>
    <t>B. Resume Medis Pasien Pulang</t>
  </si>
  <si>
    <t>Blangko Surat Pernyataan</t>
  </si>
  <si>
    <t>Blangko APS Kecil</t>
  </si>
  <si>
    <t>B. Pernyataan Keluarga</t>
  </si>
  <si>
    <t>B. Pengrm.Ps.Rujuk</t>
  </si>
  <si>
    <t>B.Pengmb. Ps.Rujuk</t>
  </si>
  <si>
    <t>Blangko Surat Pesanan</t>
  </si>
  <si>
    <t>B. Rekonsiliasi obat</t>
  </si>
  <si>
    <t>B.Pernyt.Penolakan Tindakan</t>
  </si>
  <si>
    <t>B. Pernyt.Perstj  Tindakan</t>
  </si>
  <si>
    <t>B. Keterangan E-ID</t>
  </si>
  <si>
    <t>B. Emergency Pasien IGD</t>
  </si>
  <si>
    <t>B. Laporan Operasi</t>
  </si>
  <si>
    <t>Blangko Diagnosa Klinik</t>
  </si>
  <si>
    <t>Blangko Cap Kaki Bayi</t>
  </si>
  <si>
    <t>Blangko Balance Cairan</t>
  </si>
  <si>
    <t>B. Ket Sakit Besar</t>
  </si>
  <si>
    <t>B. Ket Sakit Kecil</t>
  </si>
  <si>
    <t>B.Benar-benar sakit</t>
  </si>
  <si>
    <t>Etiket Tensi</t>
  </si>
  <si>
    <t>Etiket oral</t>
  </si>
  <si>
    <t>Etiket Sirup</t>
  </si>
  <si>
    <t>B. Intern RS</t>
  </si>
  <si>
    <t>B. Perintah RI rangkap</t>
  </si>
  <si>
    <t>B. Pesanan Psikotropik</t>
  </si>
  <si>
    <t>B. Form. Permintaan Barang</t>
  </si>
  <si>
    <t>B. Kwitansi Cetak Kasir</t>
  </si>
  <si>
    <t>B. Copy Resep</t>
  </si>
  <si>
    <t>B. Laporan Gynecologi</t>
  </si>
  <si>
    <t>B. Ket Kematian</t>
  </si>
  <si>
    <t>Kwitansi Laborat</t>
  </si>
  <si>
    <t>B. Rujukan RJ</t>
  </si>
  <si>
    <t>Pengembalian Rujukan</t>
  </si>
  <si>
    <t>Surat Ijin Menunggui</t>
  </si>
  <si>
    <t>Keterangan Rawat Inap</t>
  </si>
  <si>
    <t>Map USG</t>
  </si>
  <si>
    <t>EWS Dewasa</t>
  </si>
  <si>
    <t>EWS Anak</t>
  </si>
  <si>
    <t>EWS Obgyn</t>
  </si>
  <si>
    <t>Ceklis Pasien</t>
  </si>
  <si>
    <t>BAHAN KEBERSIHAN</t>
  </si>
  <si>
    <t>Detergen Cair</t>
  </si>
  <si>
    <t>Jerigen</t>
  </si>
  <si>
    <t xml:space="preserve">Softener </t>
  </si>
  <si>
    <t>Pencuci piring</t>
  </si>
  <si>
    <t>Sabun Colek</t>
  </si>
  <si>
    <t xml:space="preserve">Cling </t>
  </si>
  <si>
    <t>WPC</t>
  </si>
  <si>
    <t>Botol</t>
  </si>
  <si>
    <t>Byclean</t>
  </si>
  <si>
    <t>Tissue Wastafel</t>
  </si>
  <si>
    <t>Tissue Meja</t>
  </si>
  <si>
    <t>Tissue Makan</t>
  </si>
  <si>
    <t>Washlap</t>
  </si>
  <si>
    <t>Stella Aerosol</t>
  </si>
  <si>
    <t>Stella Refill</t>
  </si>
  <si>
    <t>Hit Aerosol</t>
  </si>
  <si>
    <t>Kapur Barus</t>
  </si>
  <si>
    <t>Handsoap</t>
  </si>
  <si>
    <t>btl 500ml</t>
  </si>
  <si>
    <t>Pembersih Lantai</t>
  </si>
  <si>
    <t>btl 1000ml</t>
  </si>
  <si>
    <t>Parfume Laundry</t>
  </si>
  <si>
    <t>Plastik Hitam uk.40</t>
  </si>
  <si>
    <t>Plastik Kuning uk.40</t>
  </si>
  <si>
    <t>Plastik Hitam uk.80</t>
  </si>
  <si>
    <t>Plastik Kuning uk.80</t>
  </si>
  <si>
    <t>Plastik Kuning uk.60</t>
  </si>
  <si>
    <t>Plastik Laundry</t>
  </si>
  <si>
    <t>Plastik Klinpak uk.100x120</t>
  </si>
  <si>
    <t>Plastik Kresek Putih Kecil</t>
  </si>
  <si>
    <t>Plastik Kresek Putih Tanggung</t>
  </si>
  <si>
    <t>Plastik Obat bening 1 Ons</t>
  </si>
  <si>
    <t>Plastik Obat bening 2 Ons</t>
  </si>
  <si>
    <t>Plastik Obat bening 1/4 Kg</t>
  </si>
  <si>
    <t>Plastik Obat bening 1/2 Kg</t>
  </si>
  <si>
    <t>Plastik bening 2 Kg</t>
  </si>
  <si>
    <t>Plastik bening 5 Kg</t>
  </si>
  <si>
    <t>Jerigen 15 Liter</t>
  </si>
  <si>
    <t>Gayung</t>
  </si>
  <si>
    <t>Benang Bol</t>
  </si>
  <si>
    <t>Rol</t>
  </si>
  <si>
    <t>Ember</t>
  </si>
  <si>
    <t>Heviklir MT</t>
  </si>
  <si>
    <t>jerigen</t>
  </si>
  <si>
    <t>Karbol Sereh</t>
  </si>
  <si>
    <t>Gelas Kumur</t>
  </si>
  <si>
    <t>Detergen Kecil</t>
  </si>
  <si>
    <t>PERALATAN RUMAH TANGGA</t>
  </si>
  <si>
    <t>Container Box 15</t>
  </si>
  <si>
    <t>Container Box 30</t>
  </si>
  <si>
    <t>Container Box 60</t>
  </si>
  <si>
    <t>Container Box 25</t>
  </si>
  <si>
    <t>Container Box 95</t>
  </si>
  <si>
    <t>Bantal Dacron</t>
  </si>
  <si>
    <t>Tempat Sampah 90L</t>
  </si>
  <si>
    <t>Tempat Sampah 70L Merah</t>
  </si>
  <si>
    <t>Tempat Sampah 16L Kuning</t>
  </si>
  <si>
    <t>Tempat Sampah 16L</t>
  </si>
  <si>
    <t>Tempat Sampah 10L</t>
  </si>
  <si>
    <t>Tempat Sampah injak 15 L Abu-abu merk SL</t>
  </si>
  <si>
    <t>Kursi Plastik Napoly 209</t>
  </si>
  <si>
    <t>Kanebo</t>
  </si>
  <si>
    <t>Baskom Stainless</t>
  </si>
  <si>
    <t>Tempat Sampah Abu2 16L</t>
  </si>
  <si>
    <t>Kipas Angin Dinding</t>
  </si>
  <si>
    <t>Sapu Lantai</t>
  </si>
  <si>
    <t>Sapu Lidi Putri (Panjang)</t>
  </si>
  <si>
    <t>Ekrak</t>
  </si>
  <si>
    <t>Sikat WC Gagang pendek</t>
  </si>
  <si>
    <t>Sikat WC Gagang panjang</t>
  </si>
  <si>
    <t>Sapu Loby biru Starmop Uk. 60</t>
  </si>
  <si>
    <t>Starmop Jepit</t>
  </si>
  <si>
    <t>wiper</t>
  </si>
  <si>
    <t>Keset</t>
  </si>
  <si>
    <t>Keset Handuk polos</t>
  </si>
  <si>
    <t>Keset Handuk motif</t>
  </si>
  <si>
    <t>Alat Pel Sumbu</t>
  </si>
  <si>
    <t>Pel Sumbu</t>
  </si>
  <si>
    <t>Refill Starmop 60 Loby biru</t>
  </si>
  <si>
    <t>Kain Pel Refill 60 putih</t>
  </si>
  <si>
    <t>Refill Starmop Jepit</t>
  </si>
  <si>
    <t xml:space="preserve">Sikat Cuci </t>
  </si>
  <si>
    <t>Semprotan</t>
  </si>
  <si>
    <t>Karet Gelang</t>
  </si>
  <si>
    <t>Set Bantal Guling Bayi</t>
  </si>
  <si>
    <t>Set</t>
  </si>
  <si>
    <t>Bantal Motif Bayi</t>
  </si>
  <si>
    <t>Bantal</t>
  </si>
  <si>
    <t>Meja Sedang</t>
  </si>
  <si>
    <t>Filling Kabinet</t>
  </si>
  <si>
    <t>Toiletries</t>
  </si>
  <si>
    <t>Kursi</t>
  </si>
  <si>
    <t>Komputer Set</t>
  </si>
  <si>
    <t>Kursi busa putar</t>
  </si>
  <si>
    <t>Kursi Chitose</t>
  </si>
  <si>
    <t>Pel Hider Jepit</t>
  </si>
  <si>
    <t>Sandal jepit</t>
  </si>
  <si>
    <t>Pasang</t>
  </si>
  <si>
    <t>Rak Sandal</t>
  </si>
  <si>
    <t>Semprotan Pompa</t>
  </si>
  <si>
    <t>Obat Suket</t>
  </si>
  <si>
    <t>Kg</t>
  </si>
  <si>
    <t>Sapu Sawang</t>
  </si>
  <si>
    <t>Spon Polytex</t>
  </si>
  <si>
    <t>Kemoceng</t>
  </si>
  <si>
    <t>SUKU CADANG PEMELIHARAAN</t>
  </si>
  <si>
    <t>Lampu Meval 13 watt</t>
  </si>
  <si>
    <t>Lampu Meval 7 watt</t>
  </si>
  <si>
    <t>Lampu Meval 20 watt</t>
  </si>
  <si>
    <t>LAIN - LAIN</t>
  </si>
  <si>
    <t>BHP GIZI</t>
  </si>
  <si>
    <t>Mika snack</t>
  </si>
  <si>
    <t>Cup Bolu Kertas</t>
  </si>
  <si>
    <t>Sterofoam Snack</t>
  </si>
  <si>
    <t>Cup Coffe kertas</t>
  </si>
  <si>
    <t>Cup Agar-agar</t>
  </si>
  <si>
    <t>Cup  plastik 10 oz</t>
  </si>
  <si>
    <t>Cup Plastik 16 oz</t>
  </si>
  <si>
    <t>Mika buah</t>
  </si>
  <si>
    <t>Plastik ½ kilo (Buram)</t>
  </si>
  <si>
    <t>Plastik 1/4 kilo</t>
  </si>
  <si>
    <t>Plastik 1 1/2 kilo (Untuk PMT)</t>
  </si>
  <si>
    <t>Plastik klip uk. 13x8,7</t>
  </si>
  <si>
    <t>Plastik 1 kilo (Buram)</t>
  </si>
  <si>
    <t>Plastik 2 kilo (Buram)</t>
  </si>
  <si>
    <t>Plastik 5 kilo (Buram)</t>
  </si>
  <si>
    <t>Plastik OPP snack uk. 9</t>
  </si>
  <si>
    <t>Plastik OPP snack uk. 10</t>
  </si>
  <si>
    <t>Plastik OPP snack uk. 12</t>
  </si>
  <si>
    <t>Plastik OPP snack uk. 11</t>
  </si>
  <si>
    <t>Sedotan putih steril</t>
  </si>
  <si>
    <t>Sendok bebek putih bening</t>
  </si>
  <si>
    <t>Sendok puding putih bening</t>
  </si>
  <si>
    <t>Sendok makan luxor putih susu</t>
  </si>
  <si>
    <t>Spons cuci piring warna-warni</t>
  </si>
  <si>
    <t>Sterofoam</t>
  </si>
  <si>
    <t>Tusuk gigi</t>
  </si>
  <si>
    <t>Kertas nasi uk. 28x28</t>
  </si>
  <si>
    <t>Kardus Makan 18x18 cm</t>
  </si>
  <si>
    <t>Kardus snack</t>
  </si>
  <si>
    <t>Kertas Minyak</t>
  </si>
  <si>
    <t>Sarung tangan</t>
  </si>
  <si>
    <t>Plastik Wrapping uk. 30</t>
  </si>
  <si>
    <t>Plastik Wrapping uk. 20</t>
  </si>
  <si>
    <t>Plastik wrapping 25</t>
  </si>
  <si>
    <t xml:space="preserve">Plastik Wrapping </t>
  </si>
  <si>
    <t>Selamat makan</t>
  </si>
  <si>
    <t>Mika Lauk</t>
  </si>
  <si>
    <t>Kertas Dus</t>
  </si>
  <si>
    <t>Kertas Coklat 30x30</t>
  </si>
  <si>
    <t>Handuk Escote</t>
  </si>
  <si>
    <t>Mika Bento</t>
  </si>
  <si>
    <t>Paper Cake Bolu Kertas</t>
  </si>
  <si>
    <t>Mika Tahu</t>
  </si>
  <si>
    <t>Gas elpiji 12 kg</t>
  </si>
  <si>
    <t>Tabung</t>
  </si>
  <si>
    <t>Gas elpiji 5 kg</t>
  </si>
  <si>
    <t>Gas elpiji 3 kg</t>
  </si>
  <si>
    <t>Plastik Cup 12 Oz</t>
  </si>
  <si>
    <t>Plastik Cup 10 Oz</t>
  </si>
  <si>
    <t>Plastik Cup 16 Oz</t>
  </si>
  <si>
    <t>Sedotan Jus</t>
  </si>
  <si>
    <t>Garpu Buah</t>
  </si>
  <si>
    <t>Buku Nota</t>
  </si>
  <si>
    <t>Sarung tangan plastik</t>
  </si>
  <si>
    <t>Sendok Garpu</t>
  </si>
  <si>
    <t>Plastik Sealer Cup</t>
  </si>
  <si>
    <t>Paper Bowl</t>
  </si>
  <si>
    <t>Paper Bowl 800 ml</t>
  </si>
  <si>
    <t>Cup Puding</t>
  </si>
  <si>
    <t>Cup 300 ml</t>
  </si>
  <si>
    <t>Rice Bowl 650ml</t>
  </si>
  <si>
    <t>Stiker Transparan NS Food</t>
  </si>
  <si>
    <t>Cup Salad</t>
  </si>
  <si>
    <t>mika nasi</t>
  </si>
  <si>
    <t>mika burger</t>
  </si>
  <si>
    <t>es lilin</t>
  </si>
  <si>
    <t>Kudus, 28 Maret 2023</t>
  </si>
  <si>
    <t>Direktur RSU Nurussyifa</t>
  </si>
  <si>
    <t>Kabid Umum dan Keuangan</t>
  </si>
  <si>
    <t>Kasie Umum dan Administrasi</t>
  </si>
  <si>
    <t>Petugas Logistik Umum</t>
  </si>
  <si>
    <t>dr. Titi Wulandari</t>
  </si>
  <si>
    <t>dr. Safira Aulia Rahma</t>
  </si>
  <si>
    <t>Minakhul Fikriah, SKM</t>
  </si>
  <si>
    <t>Suharyanti</t>
  </si>
  <si>
    <t>stiker transparan logo dus arsip</t>
  </si>
  <si>
    <t>kain seragam tosca (2,5 x 16)</t>
  </si>
  <si>
    <t>kain seragam mupus (2,5 x 16)</t>
  </si>
  <si>
    <t>kain seragam orange (1,5 x 16)</t>
  </si>
  <si>
    <t>tas hijau kecil</t>
  </si>
  <si>
    <t>tas hijau besar</t>
  </si>
  <si>
    <t>Dus arsip asuransi</t>
  </si>
  <si>
    <t>Bantal dakron (marwa bangsal)</t>
  </si>
  <si>
    <t>box sekat obat emergency</t>
  </si>
  <si>
    <t>stiker HAM LASA</t>
  </si>
  <si>
    <t>Set komputer VK</t>
  </si>
  <si>
    <t>Label Barcode Farmasi</t>
  </si>
  <si>
    <t>Bantal dakron (shofa marwa)</t>
  </si>
  <si>
    <t>Pembayaran map CM tahap 2</t>
  </si>
  <si>
    <t>meter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</si>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</sst>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3" fontId="3" fillId="0" borderId="1" xfId="0" applyNumberFormat="1" applyFont="1" applyFill="1" applyBorder="1"/>
    <xf numFmtId="3" fontId="3" fillId="0" borderId="1" xfId="0" quotePrefix="1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/>
    <xf numFmtId="3" fontId="3" fillId="0" borderId="1" xfId="0" quotePrefix="1" applyNumberFormat="1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/>
    <xf numFmtId="0" fontId="3" fillId="3" borderId="0" xfId="0" applyFont="1" applyFill="1" applyBorder="1"/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/>
    <xf numFmtId="3" fontId="3" fillId="3" borderId="1" xfId="0" quotePrefix="1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 wrapText="1"/>
    </xf>
    <xf numFmtId="3" fontId="3" fillId="0" borderId="4" xfId="0" applyNumberFormat="1" applyFont="1" applyFill="1" applyBorder="1"/>
    <xf numFmtId="3" fontId="3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3" fontId="4" fillId="0" borderId="4" xfId="0" applyNumberFormat="1" applyFont="1" applyFill="1" applyBorder="1"/>
    <xf numFmtId="0" fontId="4" fillId="0" borderId="1" xfId="0" applyFont="1" applyFill="1" applyBorder="1"/>
    <xf numFmtId="3" fontId="4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/>
    <xf numFmtId="0" fontId="5" fillId="0" borderId="1" xfId="0" applyFont="1" applyFill="1" applyBorder="1" applyAlignment="1">
      <alignment horizontal="center"/>
    </xf>
    <xf numFmtId="0" fontId="4" fillId="0" borderId="0" xfId="0" applyFont="1" applyFill="1" applyBorder="1"/>
    <xf numFmtId="3" fontId="3" fillId="0" borderId="4" xfId="0" applyNumberFormat="1" applyFont="1" applyBorder="1"/>
    <xf numFmtId="3" fontId="3" fillId="0" borderId="1" xfId="0" applyNumberFormat="1" applyFont="1" applyBorder="1" applyAlignment="1">
      <alignment horizontal="right"/>
    </xf>
    <xf numFmtId="0" fontId="3" fillId="0" borderId="1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/>
    </xf>
    <xf numFmtId="3" fontId="3" fillId="0" borderId="7" xfId="0" applyNumberFormat="1" applyFont="1" applyFill="1" applyBorder="1"/>
    <xf numFmtId="3" fontId="3" fillId="0" borderId="3" xfId="0" applyNumberFormat="1" applyFont="1" applyFill="1" applyBorder="1" applyAlignment="1">
      <alignment horizontal="right"/>
    </xf>
    <xf numFmtId="0" fontId="3" fillId="0" borderId="3" xfId="0" applyFont="1" applyFill="1" applyBorder="1" applyAlignment="1">
      <alignment horizontal="center" vertical="center"/>
    </xf>
    <xf numFmtId="3" fontId="3" fillId="0" borderId="3" xfId="0" applyNumberFormat="1" applyFont="1" applyFill="1" applyBorder="1"/>
    <xf numFmtId="0" fontId="2" fillId="0" borderId="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3" fontId="3" fillId="0" borderId="4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/>
    </xf>
    <xf numFmtId="3" fontId="3" fillId="0" borderId="5" xfId="0" applyNumberFormat="1" applyFont="1" applyBorder="1"/>
    <xf numFmtId="41" fontId="3" fillId="0" borderId="1" xfId="2" applyFont="1" applyFill="1" applyBorder="1" applyAlignment="1">
      <alignment horizontal="center"/>
    </xf>
    <xf numFmtId="41" fontId="3" fillId="0" borderId="1" xfId="2" applyFont="1" applyFill="1" applyBorder="1" applyAlignment="1">
      <alignment horizontal="right"/>
    </xf>
    <xf numFmtId="0" fontId="3" fillId="3" borderId="1" xfId="0" applyFont="1" applyFill="1" applyBorder="1" applyAlignment="1"/>
    <xf numFmtId="0" fontId="3" fillId="0" borderId="1" xfId="0" applyFont="1" applyFill="1" applyBorder="1" applyAlignment="1"/>
    <xf numFmtId="3" fontId="3" fillId="3" borderId="1" xfId="0" applyNumberFormat="1" applyFont="1" applyFill="1" applyBorder="1" applyAlignment="1"/>
    <xf numFmtId="3" fontId="3" fillId="0" borderId="1" xfId="1" applyNumberFormat="1" applyFont="1" applyFill="1" applyBorder="1" applyAlignment="1"/>
    <xf numFmtId="3" fontId="3" fillId="0" borderId="1" xfId="1" applyNumberFormat="1" applyFont="1" applyBorder="1" applyAlignment="1">
      <alignment horizontal="right"/>
    </xf>
    <xf numFmtId="3" fontId="3" fillId="0" borderId="1" xfId="1" applyNumberFormat="1" applyFont="1" applyFill="1" applyBorder="1" applyAlignment="1">
      <alignment horizontal="right"/>
    </xf>
    <xf numFmtId="3" fontId="3" fillId="0" borderId="1" xfId="1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41" fontId="3" fillId="0" borderId="1" xfId="2" applyFont="1" applyBorder="1" applyAlignment="1">
      <alignment horizontal="right"/>
    </xf>
    <xf numFmtId="0" fontId="3" fillId="0" borderId="0" xfId="0" applyFont="1" applyBorder="1" applyAlignment="1">
      <alignment horizontal="left" vertical="center"/>
    </xf>
    <xf numFmtId="0" fontId="3" fillId="0" borderId="4" xfId="0" applyFont="1" applyBorder="1" applyAlignment="1">
      <alignment horizontal="left" wrapText="1"/>
    </xf>
    <xf numFmtId="0" fontId="3" fillId="0" borderId="4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vertical="center"/>
    </xf>
    <xf numFmtId="0" fontId="3" fillId="0" borderId="0" xfId="0" applyFont="1"/>
    <xf numFmtId="0" fontId="3" fillId="0" borderId="3" xfId="3" applyFont="1" applyBorder="1"/>
    <xf numFmtId="0" fontId="3" fillId="0" borderId="3" xfId="0" applyFont="1" applyBorder="1" applyAlignment="1">
      <alignment horizontal="center"/>
    </xf>
    <xf numFmtId="164" fontId="3" fillId="0" borderId="3" xfId="1" applyNumberFormat="1" applyFont="1" applyBorder="1"/>
    <xf numFmtId="164" fontId="3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3" fillId="0" borderId="1" xfId="3" applyFont="1" applyBorder="1"/>
    <xf numFmtId="164" fontId="3" fillId="0" borderId="1" xfId="1" applyNumberFormat="1" applyFont="1" applyBorder="1"/>
    <xf numFmtId="164" fontId="3" fillId="0" borderId="1" xfId="0" applyNumberFormat="1" applyFont="1" applyBorder="1"/>
    <xf numFmtId="0" fontId="3" fillId="0" borderId="1" xfId="3" applyFont="1" applyFill="1" applyBorder="1"/>
    <xf numFmtId="41" fontId="3" fillId="0" borderId="1" xfId="2" applyFont="1" applyBorder="1"/>
    <xf numFmtId="0" fontId="4" fillId="0" borderId="1" xfId="3" applyFont="1" applyFill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1" fontId="3" fillId="0" borderId="1" xfId="2" applyFont="1" applyBorder="1" applyAlignment="1">
      <alignment horizontal="center" vertical="center"/>
    </xf>
    <xf numFmtId="3" fontId="3" fillId="0" borderId="1" xfId="2" applyNumberFormat="1" applyFont="1" applyBorder="1" applyAlignment="1">
      <alignment vertical="center"/>
    </xf>
  </cellXfs>
  <cellStyles count="4">
    <cellStyle name="Comma" xfId="1" builtinId="3"/>
    <cellStyle name="Comma [0]" xfId="2" builtinId="6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yu\LOGISTIK\LAPORAN%20LOGISTIK\LAPORAN%20LOGISTIK%20UNIT%20GIZ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 JAN"/>
      <sheetName val="BK JAN"/>
      <sheetName val="SO JAN"/>
      <sheetName val="PERSED JAN"/>
      <sheetName val="ABCVEN JAN"/>
      <sheetName val="BM FEB"/>
      <sheetName val="BK FEB"/>
      <sheetName val="SO FEB"/>
      <sheetName val="PERSED FEB"/>
      <sheetName val="ABCVEN FEB"/>
      <sheetName val="Chart1"/>
      <sheetName val="BM MAR"/>
      <sheetName val="BK MAR"/>
      <sheetName val="SO MAR"/>
      <sheetName val="PERSED MAR"/>
      <sheetName val="ABC VEN MAR"/>
      <sheetName val="BM APR"/>
      <sheetName val="SO APR"/>
      <sheetName val="PERSED APR"/>
      <sheetName val="ABC VEN APR"/>
      <sheetName val="BM MEI"/>
      <sheetName val="SO MEI"/>
      <sheetName val="PERSED MEI"/>
      <sheetName val="ABCVEN MEI"/>
      <sheetName val="BM JUNI"/>
      <sheetName val="SO JUNI"/>
      <sheetName val="PERSED JUNI"/>
      <sheetName val="ABCVEN JUNI"/>
      <sheetName val="Anggaran Belanja Jul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4">
          <cell r="M44">
            <v>17000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4"/>
  <sheetViews>
    <sheetView tabSelected="1" topLeftCell="A333" workbookViewId="0">
      <selection activeCell="N353" sqref="N353"/>
    </sheetView>
  </sheetViews>
  <sheetFormatPr defaultColWidth="9.140625" defaultRowHeight="12.75" x14ac:dyDescent="0.2"/>
  <cols>
    <col min="1" max="1" width="21.28515625" style="81" customWidth="1"/>
    <col min="2" max="2" width="8.140625" style="95" customWidth="1"/>
    <col min="3" max="3" width="10.42578125" style="81" customWidth="1"/>
    <col min="4" max="4" width="4.7109375" style="81" bestFit="1" customWidth="1"/>
    <col min="5" max="5" width="10.7109375" style="81" customWidth="1"/>
    <col min="6" max="6" width="5.42578125" style="95" customWidth="1"/>
    <col min="7" max="7" width="14.7109375" style="81" customWidth="1"/>
    <col min="8" max="8" width="5.28515625" style="95" bestFit="1" customWidth="1"/>
    <col min="9" max="9" width="10.85546875" style="81" bestFit="1" customWidth="1"/>
    <col min="10" max="10" width="5.42578125" style="96" customWidth="1"/>
    <col min="11" max="11" width="11" style="81" customWidth="1"/>
    <col min="12" max="16384" width="9.140625" style="81"/>
  </cols>
  <sheetData>
    <row r="1" spans="1:11" s="1" customFormat="1" x14ac:dyDescent="0.2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1" s="1" customFormat="1" x14ac:dyDescent="0.2">
      <c r="A2" s="2"/>
      <c r="B2" s="2"/>
      <c r="C2" s="3"/>
      <c r="D2" s="2"/>
      <c r="E2" s="4">
        <f>SUM(E6:E276)</f>
        <v>28233650</v>
      </c>
      <c r="F2" s="2"/>
      <c r="G2" s="4">
        <f>SUM(G6:G276)</f>
        <v>44091400</v>
      </c>
      <c r="H2" s="3"/>
      <c r="I2" s="4">
        <f>SUM(I6:I276)</f>
        <v>33156750</v>
      </c>
      <c r="J2" s="2"/>
      <c r="K2" s="4">
        <f>SUM(K6:K276)</f>
        <v>39208300</v>
      </c>
    </row>
    <row r="3" spans="1:11" s="1" customFormat="1" x14ac:dyDescent="0.2">
      <c r="A3" s="107" t="s">
        <v>1</v>
      </c>
      <c r="B3" s="107" t="s">
        <v>2</v>
      </c>
      <c r="C3" s="108" t="s">
        <v>3</v>
      </c>
      <c r="D3" s="107" t="s">
        <v>4</v>
      </c>
      <c r="E3" s="107"/>
      <c r="F3" s="107" t="s">
        <v>5</v>
      </c>
      <c r="G3" s="107"/>
      <c r="H3" s="110" t="s">
        <v>6</v>
      </c>
      <c r="I3" s="110"/>
      <c r="J3" s="110" t="s">
        <v>7</v>
      </c>
      <c r="K3" s="110"/>
    </row>
    <row r="4" spans="1:11" s="1" customFormat="1" x14ac:dyDescent="0.2">
      <c r="A4" s="107"/>
      <c r="B4" s="107"/>
      <c r="C4" s="109"/>
      <c r="D4" s="5" t="s">
        <v>8</v>
      </c>
      <c r="E4" s="5" t="s">
        <v>9</v>
      </c>
      <c r="F4" s="5" t="s">
        <v>8</v>
      </c>
      <c r="G4" s="5" t="s">
        <v>9</v>
      </c>
      <c r="H4" s="6" t="s">
        <v>8</v>
      </c>
      <c r="I4" s="6" t="s">
        <v>9</v>
      </c>
      <c r="J4" s="6" t="s">
        <v>8</v>
      </c>
      <c r="K4" s="6" t="s">
        <v>9</v>
      </c>
    </row>
    <row r="5" spans="1:11" s="1" customFormat="1" x14ac:dyDescent="0.2">
      <c r="A5" s="100" t="s">
        <v>10</v>
      </c>
      <c r="B5" s="101"/>
      <c r="C5" s="101"/>
      <c r="D5" s="101"/>
      <c r="E5" s="101"/>
      <c r="F5" s="101"/>
      <c r="G5" s="101"/>
      <c r="H5" s="101"/>
      <c r="I5" s="101"/>
      <c r="J5" s="101"/>
      <c r="K5" s="102"/>
    </row>
    <row r="6" spans="1:11" s="13" customFormat="1" x14ac:dyDescent="0.2">
      <c r="A6" s="7" t="s">
        <v>11</v>
      </c>
      <c r="B6" s="8" t="s">
        <v>12</v>
      </c>
      <c r="C6" s="9">
        <v>50000</v>
      </c>
      <c r="D6" s="7">
        <v>4</v>
      </c>
      <c r="E6" s="10">
        <f>D6*C6</f>
        <v>200000</v>
      </c>
      <c r="F6" s="11">
        <v>30</v>
      </c>
      <c r="G6" s="10">
        <f>F6*C6</f>
        <v>1500000</v>
      </c>
      <c r="H6" s="8">
        <v>34</v>
      </c>
      <c r="I6" s="9">
        <f t="shared" ref="I6:I18" si="0">H6*C6</f>
        <v>1700000</v>
      </c>
      <c r="J6" s="12">
        <f>SUM(D6+F6)-H6</f>
        <v>0</v>
      </c>
      <c r="K6" s="9">
        <f>J6*C6</f>
        <v>0</v>
      </c>
    </row>
    <row r="7" spans="1:11" s="13" customFormat="1" x14ac:dyDescent="0.2">
      <c r="A7" s="7" t="s">
        <v>13</v>
      </c>
      <c r="B7" s="8" t="s">
        <v>12</v>
      </c>
      <c r="C7" s="9">
        <v>47000</v>
      </c>
      <c r="D7" s="7">
        <v>8</v>
      </c>
      <c r="E7" s="10">
        <f t="shared" ref="E7:E81" si="1">D7*C7</f>
        <v>376000</v>
      </c>
      <c r="F7" s="11">
        <v>20</v>
      </c>
      <c r="G7" s="10">
        <f>F7*C7</f>
        <v>940000</v>
      </c>
      <c r="H7" s="8">
        <v>25</v>
      </c>
      <c r="I7" s="9">
        <f t="shared" si="0"/>
        <v>1175000</v>
      </c>
      <c r="J7" s="12">
        <f>SUM(D7+F7)-H7</f>
        <v>3</v>
      </c>
      <c r="K7" s="9">
        <f t="shared" ref="K7:K72" si="2">J7*C7</f>
        <v>141000</v>
      </c>
    </row>
    <row r="8" spans="1:11" s="1" customFormat="1" x14ac:dyDescent="0.2">
      <c r="A8" s="14" t="s">
        <v>14</v>
      </c>
      <c r="B8" s="15" t="s">
        <v>15</v>
      </c>
      <c r="C8" s="16">
        <v>20000</v>
      </c>
      <c r="D8" s="14">
        <v>2</v>
      </c>
      <c r="E8" s="17">
        <v>0</v>
      </c>
      <c r="F8" s="18">
        <v>0</v>
      </c>
      <c r="G8" s="10">
        <f t="shared" ref="G8:G71" si="3">F8*C8</f>
        <v>0</v>
      </c>
      <c r="H8" s="18">
        <v>0</v>
      </c>
      <c r="I8" s="16">
        <f t="shared" si="0"/>
        <v>0</v>
      </c>
      <c r="J8" s="12">
        <f t="shared" ref="J8:J71" si="4">SUM(D8+F8)-H8</f>
        <v>2</v>
      </c>
      <c r="K8" s="16">
        <f t="shared" si="2"/>
        <v>40000</v>
      </c>
    </row>
    <row r="9" spans="1:11" s="1" customFormat="1" x14ac:dyDescent="0.2">
      <c r="A9" s="14" t="s">
        <v>16</v>
      </c>
      <c r="B9" s="15" t="s">
        <v>17</v>
      </c>
      <c r="C9" s="16">
        <v>25000</v>
      </c>
      <c r="D9" s="14">
        <v>0</v>
      </c>
      <c r="E9" s="17">
        <f t="shared" si="1"/>
        <v>0</v>
      </c>
      <c r="F9" s="18">
        <v>0</v>
      </c>
      <c r="G9" s="10">
        <f t="shared" si="3"/>
        <v>0</v>
      </c>
      <c r="H9" s="18">
        <v>0</v>
      </c>
      <c r="I9" s="16">
        <f t="shared" si="0"/>
        <v>0</v>
      </c>
      <c r="J9" s="12">
        <f t="shared" si="4"/>
        <v>0</v>
      </c>
      <c r="K9" s="16">
        <f t="shared" si="2"/>
        <v>0</v>
      </c>
    </row>
    <row r="10" spans="1:11" s="1" customFormat="1" x14ac:dyDescent="0.2">
      <c r="A10" s="14" t="s">
        <v>18</v>
      </c>
      <c r="B10" s="15" t="s">
        <v>17</v>
      </c>
      <c r="C10" s="16">
        <v>25000</v>
      </c>
      <c r="D10" s="14">
        <v>0</v>
      </c>
      <c r="E10" s="17">
        <f t="shared" si="1"/>
        <v>0</v>
      </c>
      <c r="F10" s="18">
        <v>0</v>
      </c>
      <c r="G10" s="10">
        <f t="shared" si="3"/>
        <v>0</v>
      </c>
      <c r="H10" s="18">
        <v>0</v>
      </c>
      <c r="I10" s="16">
        <f t="shared" si="0"/>
        <v>0</v>
      </c>
      <c r="J10" s="12">
        <f t="shared" si="4"/>
        <v>0</v>
      </c>
      <c r="K10" s="16">
        <f t="shared" si="2"/>
        <v>0</v>
      </c>
    </row>
    <row r="11" spans="1:11" s="13" customFormat="1" x14ac:dyDescent="0.2">
      <c r="A11" s="7" t="s">
        <v>19</v>
      </c>
      <c r="B11" s="8" t="s">
        <v>17</v>
      </c>
      <c r="C11" s="9">
        <v>22000</v>
      </c>
      <c r="D11" s="7">
        <v>1</v>
      </c>
      <c r="E11" s="10">
        <f t="shared" si="1"/>
        <v>22000</v>
      </c>
      <c r="F11" s="18">
        <v>2</v>
      </c>
      <c r="G11" s="10">
        <f t="shared" si="3"/>
        <v>44000</v>
      </c>
      <c r="H11" s="18">
        <v>3</v>
      </c>
      <c r="I11" s="9">
        <f t="shared" si="0"/>
        <v>66000</v>
      </c>
      <c r="J11" s="12">
        <f t="shared" si="4"/>
        <v>0</v>
      </c>
      <c r="K11" s="9">
        <f t="shared" si="2"/>
        <v>0</v>
      </c>
    </row>
    <row r="12" spans="1:11" s="1" customFormat="1" x14ac:dyDescent="0.2">
      <c r="A12" s="14" t="s">
        <v>20</v>
      </c>
      <c r="B12" s="15" t="s">
        <v>17</v>
      </c>
      <c r="C12" s="16">
        <v>35000</v>
      </c>
      <c r="D12" s="14">
        <v>0</v>
      </c>
      <c r="E12" s="17">
        <f t="shared" si="1"/>
        <v>0</v>
      </c>
      <c r="F12" s="18">
        <v>0</v>
      </c>
      <c r="G12" s="10">
        <f t="shared" si="3"/>
        <v>0</v>
      </c>
      <c r="H12" s="18">
        <v>0</v>
      </c>
      <c r="I12" s="9">
        <f t="shared" si="0"/>
        <v>0</v>
      </c>
      <c r="J12" s="12">
        <f t="shared" si="4"/>
        <v>0</v>
      </c>
      <c r="K12" s="16">
        <f t="shared" si="2"/>
        <v>0</v>
      </c>
    </row>
    <row r="13" spans="1:11" s="13" customFormat="1" x14ac:dyDescent="0.2">
      <c r="A13" s="7" t="s">
        <v>21</v>
      </c>
      <c r="B13" s="8" t="s">
        <v>17</v>
      </c>
      <c r="C13" s="9">
        <v>2000</v>
      </c>
      <c r="D13" s="7">
        <v>7</v>
      </c>
      <c r="E13" s="10">
        <f t="shared" si="1"/>
        <v>14000</v>
      </c>
      <c r="F13" s="11">
        <v>10</v>
      </c>
      <c r="G13" s="10">
        <f t="shared" si="3"/>
        <v>20000</v>
      </c>
      <c r="H13" s="8">
        <v>8</v>
      </c>
      <c r="I13" s="9">
        <f t="shared" si="0"/>
        <v>16000</v>
      </c>
      <c r="J13" s="12">
        <f t="shared" si="4"/>
        <v>9</v>
      </c>
      <c r="K13" s="9">
        <f t="shared" si="2"/>
        <v>18000</v>
      </c>
    </row>
    <row r="14" spans="1:11" s="1" customFormat="1" x14ac:dyDescent="0.2">
      <c r="A14" s="14" t="s">
        <v>22</v>
      </c>
      <c r="B14" s="15" t="s">
        <v>17</v>
      </c>
      <c r="C14" s="16">
        <v>6500</v>
      </c>
      <c r="D14" s="14">
        <v>6</v>
      </c>
      <c r="E14" s="17">
        <f t="shared" si="1"/>
        <v>39000</v>
      </c>
      <c r="F14" s="18">
        <v>0</v>
      </c>
      <c r="G14" s="10">
        <f t="shared" si="3"/>
        <v>0</v>
      </c>
      <c r="H14" s="18">
        <v>0</v>
      </c>
      <c r="I14" s="16">
        <f t="shared" si="0"/>
        <v>0</v>
      </c>
      <c r="J14" s="12">
        <f t="shared" si="4"/>
        <v>6</v>
      </c>
      <c r="K14" s="16">
        <f t="shared" si="2"/>
        <v>39000</v>
      </c>
    </row>
    <row r="15" spans="1:11" s="1" customFormat="1" x14ac:dyDescent="0.2">
      <c r="A15" s="14" t="s">
        <v>23</v>
      </c>
      <c r="B15" s="15" t="s">
        <v>15</v>
      </c>
      <c r="C15" s="16">
        <v>12500</v>
      </c>
      <c r="D15" s="14">
        <v>2</v>
      </c>
      <c r="E15" s="17">
        <f t="shared" si="1"/>
        <v>25000</v>
      </c>
      <c r="F15" s="18">
        <v>0</v>
      </c>
      <c r="G15" s="10">
        <f t="shared" si="3"/>
        <v>0</v>
      </c>
      <c r="H15" s="18">
        <v>0</v>
      </c>
      <c r="I15" s="16">
        <f t="shared" si="0"/>
        <v>0</v>
      </c>
      <c r="J15" s="12">
        <f t="shared" si="4"/>
        <v>2</v>
      </c>
      <c r="K15" s="16">
        <f t="shared" si="2"/>
        <v>25000</v>
      </c>
    </row>
    <row r="16" spans="1:11" s="1" customFormat="1" x14ac:dyDescent="0.2">
      <c r="A16" s="14" t="s">
        <v>24</v>
      </c>
      <c r="B16" s="15" t="s">
        <v>25</v>
      </c>
      <c r="C16" s="16">
        <v>12000</v>
      </c>
      <c r="D16" s="14">
        <v>1</v>
      </c>
      <c r="E16" s="17">
        <f t="shared" si="1"/>
        <v>12000</v>
      </c>
      <c r="F16" s="18">
        <v>5</v>
      </c>
      <c r="G16" s="10">
        <f t="shared" si="3"/>
        <v>60000</v>
      </c>
      <c r="H16" s="15">
        <v>2</v>
      </c>
      <c r="I16" s="16">
        <f t="shared" si="0"/>
        <v>24000</v>
      </c>
      <c r="J16" s="12">
        <f t="shared" si="4"/>
        <v>4</v>
      </c>
      <c r="K16" s="16">
        <f t="shared" si="2"/>
        <v>48000</v>
      </c>
    </row>
    <row r="17" spans="1:11" s="1" customFormat="1" x14ac:dyDescent="0.2">
      <c r="A17" s="14" t="s">
        <v>26</v>
      </c>
      <c r="B17" s="15" t="s">
        <v>15</v>
      </c>
      <c r="C17" s="16">
        <v>4000</v>
      </c>
      <c r="D17" s="14">
        <v>1</v>
      </c>
      <c r="E17" s="17">
        <f t="shared" si="1"/>
        <v>4000</v>
      </c>
      <c r="F17" s="18">
        <v>0</v>
      </c>
      <c r="G17" s="10">
        <f t="shared" si="3"/>
        <v>0</v>
      </c>
      <c r="H17" s="18">
        <v>0</v>
      </c>
      <c r="I17" s="16">
        <f t="shared" si="0"/>
        <v>0</v>
      </c>
      <c r="J17" s="12">
        <f t="shared" si="4"/>
        <v>1</v>
      </c>
      <c r="K17" s="16">
        <f t="shared" si="2"/>
        <v>4000</v>
      </c>
    </row>
    <row r="18" spans="1:11" s="1" customFormat="1" x14ac:dyDescent="0.2">
      <c r="A18" s="14" t="s">
        <v>27</v>
      </c>
      <c r="B18" s="15" t="s">
        <v>15</v>
      </c>
      <c r="C18" s="16">
        <v>7000</v>
      </c>
      <c r="D18" s="14">
        <v>2</v>
      </c>
      <c r="E18" s="17">
        <f t="shared" si="1"/>
        <v>14000</v>
      </c>
      <c r="F18" s="18">
        <v>3</v>
      </c>
      <c r="G18" s="10">
        <f t="shared" si="3"/>
        <v>21000</v>
      </c>
      <c r="H18" s="18">
        <v>2</v>
      </c>
      <c r="I18" s="16">
        <f t="shared" si="0"/>
        <v>14000</v>
      </c>
      <c r="J18" s="12">
        <f>SUM(D18+F18)-H18</f>
        <v>3</v>
      </c>
      <c r="K18" s="16">
        <f t="shared" si="2"/>
        <v>21000</v>
      </c>
    </row>
    <row r="19" spans="1:11" s="1" customFormat="1" x14ac:dyDescent="0.2">
      <c r="A19" s="14" t="s">
        <v>28</v>
      </c>
      <c r="B19" s="15" t="s">
        <v>15</v>
      </c>
      <c r="C19" s="16">
        <v>7000</v>
      </c>
      <c r="D19" s="14">
        <v>2</v>
      </c>
      <c r="E19" s="17">
        <f t="shared" si="1"/>
        <v>14000</v>
      </c>
      <c r="F19" s="18">
        <v>0</v>
      </c>
      <c r="G19" s="10">
        <f t="shared" si="3"/>
        <v>0</v>
      </c>
      <c r="H19" s="18">
        <v>0</v>
      </c>
      <c r="I19" s="16">
        <v>0</v>
      </c>
      <c r="J19" s="12">
        <f t="shared" si="4"/>
        <v>2</v>
      </c>
      <c r="K19" s="16">
        <f t="shared" si="2"/>
        <v>14000</v>
      </c>
    </row>
    <row r="20" spans="1:11" s="13" customFormat="1" x14ac:dyDescent="0.2">
      <c r="A20" s="7" t="s">
        <v>29</v>
      </c>
      <c r="B20" s="8" t="s">
        <v>15</v>
      </c>
      <c r="C20" s="9">
        <v>8000</v>
      </c>
      <c r="D20" s="7">
        <v>5</v>
      </c>
      <c r="E20" s="10">
        <f t="shared" si="1"/>
        <v>40000</v>
      </c>
      <c r="F20" s="11">
        <v>4</v>
      </c>
      <c r="G20" s="10">
        <f t="shared" si="3"/>
        <v>32000</v>
      </c>
      <c r="H20" s="8">
        <v>3</v>
      </c>
      <c r="I20" s="9">
        <f t="shared" ref="I20:I83" si="5">H20*C20</f>
        <v>24000</v>
      </c>
      <c r="J20" s="12">
        <f t="shared" si="4"/>
        <v>6</v>
      </c>
      <c r="K20" s="9">
        <f t="shared" si="2"/>
        <v>48000</v>
      </c>
    </row>
    <row r="21" spans="1:11" s="1" customFormat="1" x14ac:dyDescent="0.2">
      <c r="A21" s="14" t="s">
        <v>30</v>
      </c>
      <c r="B21" s="15" t="s">
        <v>15</v>
      </c>
      <c r="C21" s="16">
        <v>9000</v>
      </c>
      <c r="D21" s="14">
        <v>4</v>
      </c>
      <c r="E21" s="17">
        <f t="shared" si="1"/>
        <v>36000</v>
      </c>
      <c r="F21" s="18">
        <v>0</v>
      </c>
      <c r="G21" s="10">
        <f t="shared" si="3"/>
        <v>0</v>
      </c>
      <c r="H21" s="8">
        <v>0</v>
      </c>
      <c r="I21" s="16">
        <f t="shared" si="5"/>
        <v>0</v>
      </c>
      <c r="J21" s="12">
        <f t="shared" si="4"/>
        <v>4</v>
      </c>
      <c r="K21" s="16">
        <f t="shared" si="2"/>
        <v>36000</v>
      </c>
    </row>
    <row r="22" spans="1:11" s="1" customFormat="1" x14ac:dyDescent="0.2">
      <c r="A22" s="14" t="s">
        <v>31</v>
      </c>
      <c r="B22" s="15" t="s">
        <v>15</v>
      </c>
      <c r="C22" s="16">
        <v>1000</v>
      </c>
      <c r="D22" s="14">
        <v>3</v>
      </c>
      <c r="E22" s="17">
        <f t="shared" si="1"/>
        <v>3000</v>
      </c>
      <c r="F22" s="18">
        <v>0</v>
      </c>
      <c r="G22" s="10">
        <f t="shared" si="3"/>
        <v>0</v>
      </c>
      <c r="H22" s="8">
        <v>0</v>
      </c>
      <c r="I22" s="16">
        <f t="shared" si="5"/>
        <v>0</v>
      </c>
      <c r="J22" s="12">
        <f t="shared" si="4"/>
        <v>3</v>
      </c>
      <c r="K22" s="16">
        <f t="shared" si="2"/>
        <v>3000</v>
      </c>
    </row>
    <row r="23" spans="1:11" s="1" customFormat="1" x14ac:dyDescent="0.2">
      <c r="A23" s="14" t="s">
        <v>32</v>
      </c>
      <c r="B23" s="15" t="s">
        <v>15</v>
      </c>
      <c r="C23" s="16">
        <v>1000</v>
      </c>
      <c r="D23" s="14">
        <v>4</v>
      </c>
      <c r="E23" s="17">
        <f t="shared" si="1"/>
        <v>4000</v>
      </c>
      <c r="F23" s="18">
        <v>0</v>
      </c>
      <c r="G23" s="10">
        <f t="shared" si="3"/>
        <v>0</v>
      </c>
      <c r="H23" s="8">
        <v>0</v>
      </c>
      <c r="I23" s="16">
        <f t="shared" si="5"/>
        <v>0</v>
      </c>
      <c r="J23" s="12">
        <f>SUM(D23+F23)-H23</f>
        <v>4</v>
      </c>
      <c r="K23" s="16">
        <f t="shared" si="2"/>
        <v>4000</v>
      </c>
    </row>
    <row r="24" spans="1:11" s="1" customFormat="1" x14ac:dyDescent="0.2">
      <c r="A24" s="14" t="s">
        <v>33</v>
      </c>
      <c r="B24" s="15" t="s">
        <v>15</v>
      </c>
      <c r="C24" s="16">
        <v>1000</v>
      </c>
      <c r="D24" s="14">
        <v>3</v>
      </c>
      <c r="E24" s="17">
        <f t="shared" si="1"/>
        <v>3000</v>
      </c>
      <c r="F24" s="18">
        <v>0</v>
      </c>
      <c r="G24" s="10">
        <f t="shared" si="3"/>
        <v>0</v>
      </c>
      <c r="H24" s="8">
        <v>0</v>
      </c>
      <c r="I24" s="16">
        <f t="shared" si="5"/>
        <v>0</v>
      </c>
      <c r="J24" s="12">
        <f t="shared" si="4"/>
        <v>3</v>
      </c>
      <c r="K24" s="16">
        <f t="shared" si="2"/>
        <v>3000</v>
      </c>
    </row>
    <row r="25" spans="1:11" s="13" customFormat="1" x14ac:dyDescent="0.2">
      <c r="A25" s="7" t="s">
        <v>34</v>
      </c>
      <c r="B25" s="8" t="s">
        <v>15</v>
      </c>
      <c r="C25" s="9">
        <v>1000</v>
      </c>
      <c r="D25" s="7">
        <v>22</v>
      </c>
      <c r="E25" s="10">
        <f t="shared" si="1"/>
        <v>22000</v>
      </c>
      <c r="F25" s="11">
        <v>0</v>
      </c>
      <c r="G25" s="10">
        <f t="shared" si="3"/>
        <v>0</v>
      </c>
      <c r="H25" s="8">
        <v>22</v>
      </c>
      <c r="I25" s="9">
        <f t="shared" si="5"/>
        <v>22000</v>
      </c>
      <c r="J25" s="12">
        <f t="shared" si="4"/>
        <v>0</v>
      </c>
      <c r="K25" s="9">
        <f t="shared" si="2"/>
        <v>0</v>
      </c>
    </row>
    <row r="26" spans="1:11" s="13" customFormat="1" x14ac:dyDescent="0.2">
      <c r="A26" s="7" t="s">
        <v>35</v>
      </c>
      <c r="B26" s="8" t="s">
        <v>15</v>
      </c>
      <c r="C26" s="9">
        <v>9500</v>
      </c>
      <c r="D26" s="7">
        <v>2</v>
      </c>
      <c r="E26" s="10">
        <f t="shared" si="1"/>
        <v>19000</v>
      </c>
      <c r="F26" s="11">
        <v>2</v>
      </c>
      <c r="G26" s="10">
        <f t="shared" si="3"/>
        <v>19000</v>
      </c>
      <c r="H26" s="8">
        <v>3</v>
      </c>
      <c r="I26" s="9">
        <f t="shared" si="5"/>
        <v>28500</v>
      </c>
      <c r="J26" s="12">
        <f t="shared" si="4"/>
        <v>1</v>
      </c>
      <c r="K26" s="9">
        <f t="shared" si="2"/>
        <v>9500</v>
      </c>
    </row>
    <row r="27" spans="1:11" s="1" customFormat="1" x14ac:dyDescent="0.2">
      <c r="A27" s="14" t="s">
        <v>36</v>
      </c>
      <c r="B27" s="15" t="s">
        <v>15</v>
      </c>
      <c r="C27" s="16">
        <v>15000</v>
      </c>
      <c r="D27" s="14">
        <v>2</v>
      </c>
      <c r="E27" s="17">
        <f t="shared" si="1"/>
        <v>30000</v>
      </c>
      <c r="F27" s="18">
        <v>0</v>
      </c>
      <c r="G27" s="10">
        <f t="shared" si="3"/>
        <v>0</v>
      </c>
      <c r="H27" s="15">
        <v>2</v>
      </c>
      <c r="I27" s="16">
        <f t="shared" si="5"/>
        <v>30000</v>
      </c>
      <c r="J27" s="12">
        <f t="shared" si="4"/>
        <v>0</v>
      </c>
      <c r="K27" s="16">
        <f t="shared" si="2"/>
        <v>0</v>
      </c>
    </row>
    <row r="28" spans="1:11" s="13" customFormat="1" x14ac:dyDescent="0.2">
      <c r="A28" s="7" t="s">
        <v>37</v>
      </c>
      <c r="B28" s="8" t="s">
        <v>15</v>
      </c>
      <c r="C28" s="9">
        <v>15000</v>
      </c>
      <c r="D28" s="7">
        <v>2</v>
      </c>
      <c r="E28" s="10">
        <f t="shared" si="1"/>
        <v>30000</v>
      </c>
      <c r="F28" s="11">
        <v>2</v>
      </c>
      <c r="G28" s="10">
        <f t="shared" si="3"/>
        <v>30000</v>
      </c>
      <c r="H28" s="8">
        <v>3</v>
      </c>
      <c r="I28" s="9">
        <f t="shared" si="5"/>
        <v>45000</v>
      </c>
      <c r="J28" s="12">
        <f t="shared" si="4"/>
        <v>1</v>
      </c>
      <c r="K28" s="9">
        <f t="shared" si="2"/>
        <v>15000</v>
      </c>
    </row>
    <row r="29" spans="1:11" s="1" customFormat="1" x14ac:dyDescent="0.2">
      <c r="A29" s="14" t="s">
        <v>38</v>
      </c>
      <c r="B29" s="15" t="s">
        <v>15</v>
      </c>
      <c r="C29" s="16">
        <v>5500</v>
      </c>
      <c r="D29" s="14">
        <v>1</v>
      </c>
      <c r="E29" s="17">
        <f t="shared" si="1"/>
        <v>5500</v>
      </c>
      <c r="F29" s="11">
        <v>0</v>
      </c>
      <c r="G29" s="10">
        <f t="shared" si="3"/>
        <v>0</v>
      </c>
      <c r="H29" s="8">
        <v>0</v>
      </c>
      <c r="I29" s="16">
        <f t="shared" si="5"/>
        <v>0</v>
      </c>
      <c r="J29" s="12">
        <f t="shared" si="4"/>
        <v>1</v>
      </c>
      <c r="K29" s="16">
        <f t="shared" si="2"/>
        <v>5500</v>
      </c>
    </row>
    <row r="30" spans="1:11" s="1" customFormat="1" x14ac:dyDescent="0.2">
      <c r="A30" s="14" t="s">
        <v>39</v>
      </c>
      <c r="B30" s="15" t="s">
        <v>15</v>
      </c>
      <c r="C30" s="16">
        <v>15000</v>
      </c>
      <c r="D30" s="14">
        <v>2</v>
      </c>
      <c r="E30" s="17">
        <f>D30*C30</f>
        <v>30000</v>
      </c>
      <c r="F30" s="11">
        <v>0</v>
      </c>
      <c r="G30" s="10">
        <f t="shared" si="3"/>
        <v>0</v>
      </c>
      <c r="H30" s="8">
        <v>0</v>
      </c>
      <c r="I30" s="16">
        <f t="shared" si="5"/>
        <v>0</v>
      </c>
      <c r="J30" s="12">
        <f>SUM(D30+F30)-H30</f>
        <v>2</v>
      </c>
      <c r="K30" s="16">
        <f t="shared" si="2"/>
        <v>30000</v>
      </c>
    </row>
    <row r="31" spans="1:11" s="1" customFormat="1" ht="15.75" customHeight="1" x14ac:dyDescent="0.2">
      <c r="A31" s="7" t="s">
        <v>40</v>
      </c>
      <c r="B31" s="8" t="s">
        <v>17</v>
      </c>
      <c r="C31" s="9">
        <v>45000</v>
      </c>
      <c r="D31" s="14">
        <v>7</v>
      </c>
      <c r="E31" s="10">
        <f t="shared" si="1"/>
        <v>315000</v>
      </c>
      <c r="F31" s="11">
        <v>5</v>
      </c>
      <c r="G31" s="10">
        <f t="shared" si="3"/>
        <v>225000</v>
      </c>
      <c r="H31" s="8">
        <v>8</v>
      </c>
      <c r="I31" s="9">
        <f t="shared" si="5"/>
        <v>360000</v>
      </c>
      <c r="J31" s="12">
        <f t="shared" si="4"/>
        <v>4</v>
      </c>
      <c r="K31" s="9">
        <f t="shared" si="2"/>
        <v>180000</v>
      </c>
    </row>
    <row r="32" spans="1:11" s="13" customFormat="1" x14ac:dyDescent="0.2">
      <c r="A32" s="7" t="s">
        <v>41</v>
      </c>
      <c r="B32" s="8" t="s">
        <v>17</v>
      </c>
      <c r="C32" s="9">
        <v>35000</v>
      </c>
      <c r="D32" s="7">
        <v>7</v>
      </c>
      <c r="E32" s="10">
        <f t="shared" si="1"/>
        <v>245000</v>
      </c>
      <c r="F32" s="11">
        <v>0</v>
      </c>
      <c r="G32" s="10">
        <f t="shared" si="3"/>
        <v>0</v>
      </c>
      <c r="H32" s="8">
        <v>3</v>
      </c>
      <c r="I32" s="9">
        <f t="shared" si="5"/>
        <v>105000</v>
      </c>
      <c r="J32" s="12">
        <f t="shared" si="4"/>
        <v>4</v>
      </c>
      <c r="K32" s="9">
        <f t="shared" si="2"/>
        <v>140000</v>
      </c>
    </row>
    <row r="33" spans="1:11" s="1" customFormat="1" ht="15.75" customHeight="1" x14ac:dyDescent="0.2">
      <c r="A33" s="14" t="s">
        <v>42</v>
      </c>
      <c r="B33" s="15" t="s">
        <v>43</v>
      </c>
      <c r="C33" s="16">
        <v>10000</v>
      </c>
      <c r="D33" s="14">
        <v>200</v>
      </c>
      <c r="E33" s="17">
        <f t="shared" si="1"/>
        <v>2000000</v>
      </c>
      <c r="F33" s="18">
        <v>0</v>
      </c>
      <c r="G33" s="10">
        <f t="shared" si="3"/>
        <v>0</v>
      </c>
      <c r="H33" s="18">
        <v>60</v>
      </c>
      <c r="I33" s="16">
        <f t="shared" si="5"/>
        <v>600000</v>
      </c>
      <c r="J33" s="12">
        <f t="shared" si="4"/>
        <v>140</v>
      </c>
      <c r="K33" s="16">
        <f t="shared" si="2"/>
        <v>1400000</v>
      </c>
    </row>
    <row r="34" spans="1:11" s="13" customFormat="1" x14ac:dyDescent="0.2">
      <c r="A34" s="7" t="s">
        <v>44</v>
      </c>
      <c r="B34" s="8" t="s">
        <v>43</v>
      </c>
      <c r="C34" s="9">
        <v>5500</v>
      </c>
      <c r="D34" s="7">
        <v>237</v>
      </c>
      <c r="E34" s="10">
        <f t="shared" si="1"/>
        <v>1303500</v>
      </c>
      <c r="F34" s="18">
        <v>250</v>
      </c>
      <c r="G34" s="10">
        <f t="shared" si="3"/>
        <v>1375000</v>
      </c>
      <c r="H34" s="8">
        <v>247</v>
      </c>
      <c r="I34" s="9">
        <f t="shared" si="5"/>
        <v>1358500</v>
      </c>
      <c r="J34" s="12">
        <f t="shared" si="4"/>
        <v>240</v>
      </c>
      <c r="K34" s="9">
        <f t="shared" si="2"/>
        <v>1320000</v>
      </c>
    </row>
    <row r="35" spans="1:11" s="1" customFormat="1" x14ac:dyDescent="0.2">
      <c r="A35" s="14" t="s">
        <v>45</v>
      </c>
      <c r="B35" s="15" t="s">
        <v>46</v>
      </c>
      <c r="C35" s="16">
        <v>2500</v>
      </c>
      <c r="D35" s="14">
        <v>4</v>
      </c>
      <c r="E35" s="17">
        <f t="shared" si="1"/>
        <v>10000</v>
      </c>
      <c r="F35" s="18">
        <v>0</v>
      </c>
      <c r="G35" s="10">
        <f t="shared" si="3"/>
        <v>0</v>
      </c>
      <c r="H35" s="18">
        <v>0</v>
      </c>
      <c r="I35" s="16">
        <f t="shared" si="5"/>
        <v>0</v>
      </c>
      <c r="J35" s="12">
        <f>SUM(D35+F35)-H35</f>
        <v>4</v>
      </c>
      <c r="K35" s="16">
        <f t="shared" si="2"/>
        <v>10000</v>
      </c>
    </row>
    <row r="36" spans="1:11" s="1" customFormat="1" x14ac:dyDescent="0.2">
      <c r="A36" s="14" t="s">
        <v>47</v>
      </c>
      <c r="B36" s="15" t="s">
        <v>46</v>
      </c>
      <c r="C36" s="16">
        <v>5000</v>
      </c>
      <c r="D36" s="14">
        <v>0</v>
      </c>
      <c r="E36" s="17">
        <f t="shared" si="1"/>
        <v>0</v>
      </c>
      <c r="F36" s="18">
        <v>0</v>
      </c>
      <c r="G36" s="10">
        <f>F36*C36</f>
        <v>0</v>
      </c>
      <c r="H36" s="18">
        <v>0</v>
      </c>
      <c r="I36" s="16">
        <f t="shared" si="5"/>
        <v>0</v>
      </c>
      <c r="J36" s="12">
        <f>SUM(D36+F36)-H36</f>
        <v>0</v>
      </c>
      <c r="K36" s="16">
        <f t="shared" si="2"/>
        <v>0</v>
      </c>
    </row>
    <row r="37" spans="1:11" s="1" customFormat="1" x14ac:dyDescent="0.2">
      <c r="A37" s="14" t="s">
        <v>48</v>
      </c>
      <c r="B37" s="15" t="s">
        <v>15</v>
      </c>
      <c r="C37" s="16">
        <v>17000</v>
      </c>
      <c r="D37" s="14">
        <v>7</v>
      </c>
      <c r="E37" s="17">
        <f t="shared" si="1"/>
        <v>119000</v>
      </c>
      <c r="F37" s="18">
        <v>0</v>
      </c>
      <c r="G37" s="10">
        <f t="shared" si="3"/>
        <v>0</v>
      </c>
      <c r="H37" s="18">
        <v>0</v>
      </c>
      <c r="I37" s="16">
        <f t="shared" si="5"/>
        <v>0</v>
      </c>
      <c r="J37" s="12">
        <f>SUM(D37+F37)-H37</f>
        <v>7</v>
      </c>
      <c r="K37" s="16">
        <f t="shared" si="2"/>
        <v>119000</v>
      </c>
    </row>
    <row r="38" spans="1:11" s="13" customFormat="1" x14ac:dyDescent="0.2">
      <c r="A38" s="7" t="s">
        <v>49</v>
      </c>
      <c r="B38" s="8" t="s">
        <v>15</v>
      </c>
      <c r="C38" s="9">
        <v>4000</v>
      </c>
      <c r="D38" s="7">
        <v>3</v>
      </c>
      <c r="E38" s="17">
        <f t="shared" si="1"/>
        <v>12000</v>
      </c>
      <c r="F38" s="11">
        <v>0</v>
      </c>
      <c r="G38" s="10">
        <f t="shared" si="3"/>
        <v>0</v>
      </c>
      <c r="H38" s="18">
        <v>0</v>
      </c>
      <c r="I38" s="9">
        <f t="shared" si="5"/>
        <v>0</v>
      </c>
      <c r="J38" s="12">
        <f t="shared" si="4"/>
        <v>3</v>
      </c>
      <c r="K38" s="9">
        <f t="shared" si="2"/>
        <v>12000</v>
      </c>
    </row>
    <row r="39" spans="1:11" s="13" customFormat="1" x14ac:dyDescent="0.2">
      <c r="A39" s="7" t="s">
        <v>50</v>
      </c>
      <c r="B39" s="8" t="s">
        <v>51</v>
      </c>
      <c r="C39" s="9">
        <v>40000</v>
      </c>
      <c r="D39" s="7">
        <v>2</v>
      </c>
      <c r="E39" s="10">
        <f t="shared" si="1"/>
        <v>80000</v>
      </c>
      <c r="F39" s="11">
        <v>0</v>
      </c>
      <c r="G39" s="10">
        <f t="shared" si="3"/>
        <v>0</v>
      </c>
      <c r="H39" s="8">
        <v>0</v>
      </c>
      <c r="I39" s="9">
        <f t="shared" si="5"/>
        <v>0</v>
      </c>
      <c r="J39" s="12">
        <f t="shared" si="4"/>
        <v>2</v>
      </c>
      <c r="K39" s="9">
        <f t="shared" si="2"/>
        <v>80000</v>
      </c>
    </row>
    <row r="40" spans="1:11" s="13" customFormat="1" x14ac:dyDescent="0.2">
      <c r="A40" s="7" t="s">
        <v>52</v>
      </c>
      <c r="B40" s="8" t="s">
        <v>51</v>
      </c>
      <c r="C40" s="9">
        <v>40000</v>
      </c>
      <c r="D40" s="7">
        <v>2</v>
      </c>
      <c r="E40" s="10">
        <f t="shared" si="1"/>
        <v>80000</v>
      </c>
      <c r="F40" s="18">
        <v>0</v>
      </c>
      <c r="G40" s="10">
        <f t="shared" si="3"/>
        <v>0</v>
      </c>
      <c r="H40" s="18">
        <v>0</v>
      </c>
      <c r="I40" s="9">
        <f t="shared" si="5"/>
        <v>0</v>
      </c>
      <c r="J40" s="12">
        <f t="shared" si="4"/>
        <v>2</v>
      </c>
      <c r="K40" s="9">
        <f t="shared" si="2"/>
        <v>80000</v>
      </c>
    </row>
    <row r="41" spans="1:11" s="13" customFormat="1" ht="13.5" customHeight="1" x14ac:dyDescent="0.2">
      <c r="A41" s="7" t="s">
        <v>53</v>
      </c>
      <c r="B41" s="8" t="s">
        <v>51</v>
      </c>
      <c r="C41" s="9">
        <v>40000</v>
      </c>
      <c r="D41" s="7">
        <v>2</v>
      </c>
      <c r="E41" s="10">
        <f t="shared" si="1"/>
        <v>80000</v>
      </c>
      <c r="F41" s="18">
        <v>0</v>
      </c>
      <c r="G41" s="10">
        <f t="shared" si="3"/>
        <v>0</v>
      </c>
      <c r="H41" s="18">
        <v>0</v>
      </c>
      <c r="I41" s="9">
        <f>H41*C41</f>
        <v>0</v>
      </c>
      <c r="J41" s="12">
        <f t="shared" si="4"/>
        <v>2</v>
      </c>
      <c r="K41" s="9">
        <f t="shared" si="2"/>
        <v>80000</v>
      </c>
    </row>
    <row r="42" spans="1:11" s="13" customFormat="1" x14ac:dyDescent="0.2">
      <c r="A42" s="7" t="s">
        <v>54</v>
      </c>
      <c r="B42" s="8" t="s">
        <v>51</v>
      </c>
      <c r="C42" s="9">
        <v>40000</v>
      </c>
      <c r="D42" s="7">
        <v>1</v>
      </c>
      <c r="E42" s="10">
        <f>D42*C42</f>
        <v>40000</v>
      </c>
      <c r="F42" s="18">
        <v>0</v>
      </c>
      <c r="G42" s="10">
        <f t="shared" si="3"/>
        <v>0</v>
      </c>
      <c r="H42" s="18">
        <v>0</v>
      </c>
      <c r="I42" s="9">
        <f>H42*C42</f>
        <v>0</v>
      </c>
      <c r="J42" s="12">
        <f t="shared" si="4"/>
        <v>1</v>
      </c>
      <c r="K42" s="9">
        <f>J42*C42</f>
        <v>40000</v>
      </c>
    </row>
    <row r="43" spans="1:11" s="13" customFormat="1" x14ac:dyDescent="0.2">
      <c r="A43" s="7" t="s">
        <v>55</v>
      </c>
      <c r="B43" s="8" t="s">
        <v>51</v>
      </c>
      <c r="C43" s="9">
        <v>95000</v>
      </c>
      <c r="D43" s="7">
        <v>2</v>
      </c>
      <c r="E43" s="10">
        <f>D43*C43</f>
        <v>190000</v>
      </c>
      <c r="F43" s="11">
        <v>9</v>
      </c>
      <c r="G43" s="10">
        <f t="shared" si="3"/>
        <v>855000</v>
      </c>
      <c r="H43" s="8">
        <v>3</v>
      </c>
      <c r="I43" s="9">
        <f>H43*C43</f>
        <v>285000</v>
      </c>
      <c r="J43" s="12">
        <f t="shared" si="4"/>
        <v>8</v>
      </c>
      <c r="K43" s="9">
        <f>J43*C43</f>
        <v>760000</v>
      </c>
    </row>
    <row r="44" spans="1:11" s="13" customFormat="1" x14ac:dyDescent="0.2">
      <c r="A44" s="7" t="s">
        <v>56</v>
      </c>
      <c r="B44" s="8" t="s">
        <v>51</v>
      </c>
      <c r="C44" s="9">
        <v>95000</v>
      </c>
      <c r="D44" s="7">
        <v>3</v>
      </c>
      <c r="E44" s="10">
        <f>D44*C44</f>
        <v>285000</v>
      </c>
      <c r="F44" s="11">
        <v>0</v>
      </c>
      <c r="G44" s="10">
        <f t="shared" si="3"/>
        <v>0</v>
      </c>
      <c r="H44" s="8">
        <v>1</v>
      </c>
      <c r="I44" s="9">
        <f>H44*C44</f>
        <v>95000</v>
      </c>
      <c r="J44" s="12">
        <f t="shared" si="4"/>
        <v>2</v>
      </c>
      <c r="K44" s="9">
        <f>J44*C44</f>
        <v>190000</v>
      </c>
    </row>
    <row r="45" spans="1:11" s="13" customFormat="1" x14ac:dyDescent="0.2">
      <c r="A45" s="7" t="s">
        <v>57</v>
      </c>
      <c r="B45" s="8" t="s">
        <v>51</v>
      </c>
      <c r="C45" s="9">
        <v>95000</v>
      </c>
      <c r="D45" s="7">
        <v>1</v>
      </c>
      <c r="E45" s="10">
        <f>D45*C45</f>
        <v>95000</v>
      </c>
      <c r="F45" s="11">
        <v>2</v>
      </c>
      <c r="G45" s="10">
        <f t="shared" si="3"/>
        <v>190000</v>
      </c>
      <c r="H45" s="8">
        <v>1</v>
      </c>
      <c r="I45" s="9">
        <f>H45*C45</f>
        <v>95000</v>
      </c>
      <c r="J45" s="12">
        <f t="shared" si="4"/>
        <v>2</v>
      </c>
      <c r="K45" s="9">
        <f>J45*C45</f>
        <v>190000</v>
      </c>
    </row>
    <row r="46" spans="1:11" s="13" customFormat="1" x14ac:dyDescent="0.2">
      <c r="A46" s="7" t="s">
        <v>58</v>
      </c>
      <c r="B46" s="8" t="s">
        <v>51</v>
      </c>
      <c r="C46" s="9">
        <v>95000</v>
      </c>
      <c r="D46" s="7">
        <v>2</v>
      </c>
      <c r="E46" s="10">
        <f>D46*C46</f>
        <v>190000</v>
      </c>
      <c r="F46" s="11">
        <v>2</v>
      </c>
      <c r="G46" s="10">
        <f t="shared" si="3"/>
        <v>190000</v>
      </c>
      <c r="H46" s="8">
        <v>2</v>
      </c>
      <c r="I46" s="9">
        <f t="shared" ref="I46:I47" si="6">H46*C46</f>
        <v>190000</v>
      </c>
      <c r="J46" s="12">
        <f t="shared" si="4"/>
        <v>2</v>
      </c>
      <c r="K46" s="9">
        <f>J46*C46</f>
        <v>190000</v>
      </c>
    </row>
    <row r="47" spans="1:11" s="1" customFormat="1" x14ac:dyDescent="0.2">
      <c r="A47" s="14" t="s">
        <v>59</v>
      </c>
      <c r="B47" s="15" t="s">
        <v>51</v>
      </c>
      <c r="C47" s="16">
        <v>12000</v>
      </c>
      <c r="D47" s="14">
        <v>3</v>
      </c>
      <c r="E47" s="17">
        <f t="shared" si="1"/>
        <v>36000</v>
      </c>
      <c r="F47" s="11">
        <v>0</v>
      </c>
      <c r="G47" s="10">
        <f t="shared" si="3"/>
        <v>0</v>
      </c>
      <c r="H47" s="18">
        <v>0</v>
      </c>
      <c r="I47" s="9">
        <f t="shared" si="6"/>
        <v>0</v>
      </c>
      <c r="J47" s="12">
        <f t="shared" si="4"/>
        <v>3</v>
      </c>
      <c r="K47" s="16">
        <f t="shared" si="2"/>
        <v>36000</v>
      </c>
    </row>
    <row r="48" spans="1:11" s="13" customFormat="1" x14ac:dyDescent="0.2">
      <c r="A48" s="7" t="s">
        <v>60</v>
      </c>
      <c r="B48" s="8" t="s">
        <v>51</v>
      </c>
      <c r="C48" s="9">
        <v>12000</v>
      </c>
      <c r="D48" s="7">
        <v>3</v>
      </c>
      <c r="E48" s="10">
        <f t="shared" si="1"/>
        <v>36000</v>
      </c>
      <c r="F48" s="18">
        <v>0</v>
      </c>
      <c r="G48" s="10">
        <f t="shared" si="3"/>
        <v>0</v>
      </c>
      <c r="H48" s="18">
        <v>0</v>
      </c>
      <c r="I48" s="9">
        <f t="shared" si="5"/>
        <v>0</v>
      </c>
      <c r="J48" s="12">
        <f t="shared" si="4"/>
        <v>3</v>
      </c>
      <c r="K48" s="9">
        <f t="shared" si="2"/>
        <v>36000</v>
      </c>
    </row>
    <row r="49" spans="1:11" s="1" customFormat="1" x14ac:dyDescent="0.2">
      <c r="A49" s="14" t="s">
        <v>61</v>
      </c>
      <c r="B49" s="15" t="s">
        <v>62</v>
      </c>
      <c r="C49" s="16">
        <v>8000</v>
      </c>
      <c r="D49" s="14">
        <v>1</v>
      </c>
      <c r="E49" s="17">
        <f t="shared" si="1"/>
        <v>8000</v>
      </c>
      <c r="F49" s="18">
        <v>3</v>
      </c>
      <c r="G49" s="10">
        <f t="shared" si="3"/>
        <v>24000</v>
      </c>
      <c r="H49" s="15">
        <v>1</v>
      </c>
      <c r="I49" s="16">
        <f t="shared" si="5"/>
        <v>8000</v>
      </c>
      <c r="J49" s="12">
        <f>SUM(D49+F49)-H49</f>
        <v>3</v>
      </c>
      <c r="K49" s="16">
        <f t="shared" si="2"/>
        <v>24000</v>
      </c>
    </row>
    <row r="50" spans="1:11" s="1" customFormat="1" x14ac:dyDescent="0.2">
      <c r="A50" s="14" t="s">
        <v>63</v>
      </c>
      <c r="B50" s="15" t="s">
        <v>15</v>
      </c>
      <c r="C50" s="16">
        <v>4000</v>
      </c>
      <c r="D50" s="14">
        <v>0</v>
      </c>
      <c r="E50" s="17">
        <f t="shared" si="1"/>
        <v>0</v>
      </c>
      <c r="F50" s="18">
        <v>0</v>
      </c>
      <c r="G50" s="10">
        <f t="shared" si="3"/>
        <v>0</v>
      </c>
      <c r="H50" s="18">
        <v>0</v>
      </c>
      <c r="I50" s="16">
        <f t="shared" si="5"/>
        <v>0</v>
      </c>
      <c r="J50" s="12">
        <f t="shared" si="4"/>
        <v>0</v>
      </c>
      <c r="K50" s="16">
        <f t="shared" si="2"/>
        <v>0</v>
      </c>
    </row>
    <row r="51" spans="1:11" s="13" customFormat="1" x14ac:dyDescent="0.2">
      <c r="A51" s="7" t="s">
        <v>64</v>
      </c>
      <c r="B51" s="8" t="s">
        <v>15</v>
      </c>
      <c r="C51" s="9">
        <v>5000</v>
      </c>
      <c r="D51" s="7">
        <v>2</v>
      </c>
      <c r="E51" s="10">
        <f t="shared" si="1"/>
        <v>10000</v>
      </c>
      <c r="F51" s="18">
        <v>2</v>
      </c>
      <c r="G51" s="10">
        <f t="shared" si="3"/>
        <v>10000</v>
      </c>
      <c r="H51" s="18">
        <v>0</v>
      </c>
      <c r="I51" s="9">
        <f t="shared" si="5"/>
        <v>0</v>
      </c>
      <c r="J51" s="12">
        <f t="shared" si="4"/>
        <v>4</v>
      </c>
      <c r="K51" s="9">
        <f t="shared" si="2"/>
        <v>20000</v>
      </c>
    </row>
    <row r="52" spans="1:11" s="1" customFormat="1" x14ac:dyDescent="0.2">
      <c r="A52" s="14" t="s">
        <v>65</v>
      </c>
      <c r="B52" s="15" t="s">
        <v>62</v>
      </c>
      <c r="C52" s="16">
        <v>7000</v>
      </c>
      <c r="D52" s="14">
        <v>3</v>
      </c>
      <c r="E52" s="17">
        <f t="shared" si="1"/>
        <v>21000</v>
      </c>
      <c r="F52" s="18">
        <v>0</v>
      </c>
      <c r="G52" s="10">
        <f t="shared" si="3"/>
        <v>0</v>
      </c>
      <c r="H52" s="18">
        <v>0</v>
      </c>
      <c r="I52" s="16">
        <f t="shared" si="5"/>
        <v>0</v>
      </c>
      <c r="J52" s="12">
        <f t="shared" si="4"/>
        <v>3</v>
      </c>
      <c r="K52" s="16">
        <f t="shared" si="2"/>
        <v>21000</v>
      </c>
    </row>
    <row r="53" spans="1:11" s="1" customFormat="1" x14ac:dyDescent="0.2">
      <c r="A53" s="14" t="s">
        <v>66</v>
      </c>
      <c r="B53" s="15" t="s">
        <v>15</v>
      </c>
      <c r="C53" s="16">
        <v>30000</v>
      </c>
      <c r="D53" s="14">
        <v>0</v>
      </c>
      <c r="E53" s="17">
        <f t="shared" si="1"/>
        <v>0</v>
      </c>
      <c r="F53" s="18">
        <v>0</v>
      </c>
      <c r="G53" s="10">
        <f t="shared" si="3"/>
        <v>0</v>
      </c>
      <c r="H53" s="18">
        <v>0</v>
      </c>
      <c r="I53" s="16">
        <f t="shared" si="5"/>
        <v>0</v>
      </c>
      <c r="J53" s="12">
        <f t="shared" si="4"/>
        <v>0</v>
      </c>
      <c r="K53" s="16">
        <f t="shared" si="2"/>
        <v>0</v>
      </c>
    </row>
    <row r="54" spans="1:11" s="1" customFormat="1" x14ac:dyDescent="0.2">
      <c r="A54" s="14" t="s">
        <v>67</v>
      </c>
      <c r="B54" s="15" t="s">
        <v>62</v>
      </c>
      <c r="C54" s="16">
        <v>18000</v>
      </c>
      <c r="D54" s="14">
        <v>1</v>
      </c>
      <c r="E54" s="17">
        <f t="shared" si="1"/>
        <v>18000</v>
      </c>
      <c r="F54" s="18">
        <v>0</v>
      </c>
      <c r="G54" s="10">
        <f t="shared" si="3"/>
        <v>0</v>
      </c>
      <c r="H54" s="18">
        <v>0</v>
      </c>
      <c r="I54" s="16">
        <f t="shared" si="5"/>
        <v>0</v>
      </c>
      <c r="J54" s="12">
        <f t="shared" si="4"/>
        <v>1</v>
      </c>
      <c r="K54" s="16">
        <f t="shared" si="2"/>
        <v>18000</v>
      </c>
    </row>
    <row r="55" spans="1:11" s="1" customFormat="1" x14ac:dyDescent="0.2">
      <c r="A55" s="14" t="s">
        <v>68</v>
      </c>
      <c r="B55" s="15" t="s">
        <v>15</v>
      </c>
      <c r="C55" s="16">
        <v>46000</v>
      </c>
      <c r="D55" s="14">
        <v>0</v>
      </c>
      <c r="E55" s="17">
        <f t="shared" si="1"/>
        <v>0</v>
      </c>
      <c r="F55" s="18">
        <v>0</v>
      </c>
      <c r="G55" s="10">
        <f t="shared" si="3"/>
        <v>0</v>
      </c>
      <c r="H55" s="18">
        <v>0</v>
      </c>
      <c r="I55" s="16">
        <f t="shared" si="5"/>
        <v>0</v>
      </c>
      <c r="J55" s="12">
        <f t="shared" si="4"/>
        <v>0</v>
      </c>
      <c r="K55" s="16">
        <f t="shared" si="2"/>
        <v>0</v>
      </c>
    </row>
    <row r="56" spans="1:11" s="1" customFormat="1" x14ac:dyDescent="0.2">
      <c r="A56" s="14" t="s">
        <v>69</v>
      </c>
      <c r="B56" s="15" t="s">
        <v>15</v>
      </c>
      <c r="C56" s="16">
        <v>12500</v>
      </c>
      <c r="D56" s="14">
        <v>0</v>
      </c>
      <c r="E56" s="17">
        <f t="shared" si="1"/>
        <v>0</v>
      </c>
      <c r="F56" s="18">
        <v>0</v>
      </c>
      <c r="G56" s="10">
        <f t="shared" si="3"/>
        <v>0</v>
      </c>
      <c r="H56" s="18">
        <v>0</v>
      </c>
      <c r="I56" s="16">
        <f t="shared" si="5"/>
        <v>0</v>
      </c>
      <c r="J56" s="12">
        <f>SUM(D56+F56)-H56</f>
        <v>0</v>
      </c>
      <c r="K56" s="16">
        <f t="shared" si="2"/>
        <v>0</v>
      </c>
    </row>
    <row r="57" spans="1:11" s="13" customFormat="1" x14ac:dyDescent="0.2">
      <c r="A57" s="7" t="s">
        <v>70</v>
      </c>
      <c r="B57" s="8" t="s">
        <v>15</v>
      </c>
      <c r="C57" s="9">
        <v>14000</v>
      </c>
      <c r="D57" s="7">
        <v>1</v>
      </c>
      <c r="E57" s="17">
        <f t="shared" si="1"/>
        <v>14000</v>
      </c>
      <c r="F57" s="11">
        <v>4</v>
      </c>
      <c r="G57" s="10">
        <f t="shared" si="3"/>
        <v>56000</v>
      </c>
      <c r="H57" s="8">
        <v>1</v>
      </c>
      <c r="I57" s="16">
        <f t="shared" si="5"/>
        <v>14000</v>
      </c>
      <c r="J57" s="12">
        <f>SUM(D57+F57)-H57</f>
        <v>4</v>
      </c>
      <c r="K57" s="9">
        <f t="shared" si="2"/>
        <v>56000</v>
      </c>
    </row>
    <row r="58" spans="1:11" s="13" customFormat="1" x14ac:dyDescent="0.2">
      <c r="A58" s="7" t="s">
        <v>71</v>
      </c>
      <c r="B58" s="8" t="s">
        <v>15</v>
      </c>
      <c r="C58" s="9">
        <v>18000</v>
      </c>
      <c r="D58" s="7">
        <v>0</v>
      </c>
      <c r="E58" s="10">
        <f t="shared" si="1"/>
        <v>0</v>
      </c>
      <c r="F58" s="18">
        <v>0</v>
      </c>
      <c r="G58" s="10">
        <f t="shared" si="3"/>
        <v>0</v>
      </c>
      <c r="H58" s="18">
        <v>0</v>
      </c>
      <c r="I58" s="16">
        <f t="shared" si="5"/>
        <v>0</v>
      </c>
      <c r="J58" s="12">
        <f>SUM(D58+F58)-H58</f>
        <v>0</v>
      </c>
      <c r="K58" s="9">
        <f t="shared" si="2"/>
        <v>0</v>
      </c>
    </row>
    <row r="59" spans="1:11" s="1" customFormat="1" x14ac:dyDescent="0.2">
      <c r="A59" s="14" t="s">
        <v>72</v>
      </c>
      <c r="B59" s="15" t="s">
        <v>17</v>
      </c>
      <c r="C59" s="16">
        <v>3000</v>
      </c>
      <c r="D59" s="14">
        <v>3</v>
      </c>
      <c r="E59" s="17">
        <f t="shared" si="1"/>
        <v>9000</v>
      </c>
      <c r="F59" s="18">
        <v>100</v>
      </c>
      <c r="G59" s="10">
        <f t="shared" si="3"/>
        <v>300000</v>
      </c>
      <c r="H59" s="18">
        <v>69</v>
      </c>
      <c r="I59" s="16">
        <f t="shared" si="5"/>
        <v>207000</v>
      </c>
      <c r="J59" s="12">
        <f>SUM(D59+F59)-H59</f>
        <v>34</v>
      </c>
      <c r="K59" s="16">
        <f t="shared" si="2"/>
        <v>102000</v>
      </c>
    </row>
    <row r="60" spans="1:11" s="13" customFormat="1" x14ac:dyDescent="0.2">
      <c r="A60" s="7" t="s">
        <v>73</v>
      </c>
      <c r="B60" s="8" t="s">
        <v>17</v>
      </c>
      <c r="C60" s="9">
        <v>2000</v>
      </c>
      <c r="D60" s="7">
        <v>32</v>
      </c>
      <c r="E60" s="10">
        <f t="shared" si="1"/>
        <v>64000</v>
      </c>
      <c r="F60" s="11">
        <v>0</v>
      </c>
      <c r="G60" s="10">
        <f t="shared" si="3"/>
        <v>0</v>
      </c>
      <c r="H60" s="8">
        <v>0</v>
      </c>
      <c r="I60" s="9">
        <f t="shared" si="5"/>
        <v>0</v>
      </c>
      <c r="J60" s="12">
        <f t="shared" si="4"/>
        <v>32</v>
      </c>
      <c r="K60" s="9">
        <f t="shared" si="2"/>
        <v>64000</v>
      </c>
    </row>
    <row r="61" spans="1:11" s="1" customFormat="1" x14ac:dyDescent="0.2">
      <c r="A61" s="14" t="s">
        <v>74</v>
      </c>
      <c r="B61" s="15" t="s">
        <v>17</v>
      </c>
      <c r="C61" s="16">
        <v>5000</v>
      </c>
      <c r="D61" s="14">
        <v>1</v>
      </c>
      <c r="E61" s="17">
        <f t="shared" si="1"/>
        <v>5000</v>
      </c>
      <c r="F61" s="18">
        <v>0</v>
      </c>
      <c r="G61" s="10">
        <f t="shared" si="3"/>
        <v>0</v>
      </c>
      <c r="H61" s="18">
        <v>0</v>
      </c>
      <c r="I61" s="16">
        <f t="shared" si="5"/>
        <v>0</v>
      </c>
      <c r="J61" s="12">
        <f t="shared" si="4"/>
        <v>1</v>
      </c>
      <c r="K61" s="16">
        <f t="shared" si="2"/>
        <v>5000</v>
      </c>
    </row>
    <row r="62" spans="1:11" s="1" customFormat="1" x14ac:dyDescent="0.2">
      <c r="A62" s="14" t="s">
        <v>75</v>
      </c>
      <c r="B62" s="15" t="s">
        <v>15</v>
      </c>
      <c r="C62" s="16">
        <v>6000</v>
      </c>
      <c r="D62" s="14">
        <v>0</v>
      </c>
      <c r="E62" s="17">
        <f t="shared" si="1"/>
        <v>0</v>
      </c>
      <c r="F62" s="18">
        <v>0</v>
      </c>
      <c r="G62" s="10">
        <f t="shared" si="3"/>
        <v>0</v>
      </c>
      <c r="H62" s="18">
        <v>0</v>
      </c>
      <c r="I62" s="16">
        <f t="shared" si="5"/>
        <v>0</v>
      </c>
      <c r="J62" s="12">
        <f t="shared" si="4"/>
        <v>0</v>
      </c>
      <c r="K62" s="16">
        <f t="shared" si="2"/>
        <v>0</v>
      </c>
    </row>
    <row r="63" spans="1:11" s="13" customFormat="1" ht="15.75" customHeight="1" x14ac:dyDescent="0.2">
      <c r="A63" s="7" t="s">
        <v>76</v>
      </c>
      <c r="B63" s="8" t="s">
        <v>15</v>
      </c>
      <c r="C63" s="9">
        <v>15000</v>
      </c>
      <c r="D63" s="7">
        <v>1</v>
      </c>
      <c r="E63" s="10">
        <f t="shared" si="1"/>
        <v>15000</v>
      </c>
      <c r="F63" s="18">
        <v>0</v>
      </c>
      <c r="G63" s="10">
        <f t="shared" si="3"/>
        <v>0</v>
      </c>
      <c r="H63" s="18">
        <v>0</v>
      </c>
      <c r="I63" s="9">
        <f t="shared" si="5"/>
        <v>0</v>
      </c>
      <c r="J63" s="12">
        <f t="shared" si="4"/>
        <v>1</v>
      </c>
      <c r="K63" s="9">
        <f t="shared" si="2"/>
        <v>15000</v>
      </c>
    </row>
    <row r="64" spans="1:11" s="1" customFormat="1" x14ac:dyDescent="0.2">
      <c r="A64" s="7" t="s">
        <v>77</v>
      </c>
      <c r="B64" s="15" t="s">
        <v>78</v>
      </c>
      <c r="C64" s="16">
        <v>18000</v>
      </c>
      <c r="D64" s="14">
        <v>4</v>
      </c>
      <c r="E64" s="17">
        <f t="shared" si="1"/>
        <v>72000</v>
      </c>
      <c r="F64" s="18">
        <v>0</v>
      </c>
      <c r="G64" s="10">
        <f t="shared" si="3"/>
        <v>0</v>
      </c>
      <c r="H64" s="18">
        <v>0</v>
      </c>
      <c r="I64" s="16">
        <f t="shared" si="5"/>
        <v>0</v>
      </c>
      <c r="J64" s="12">
        <f>SUM(D64+F64)-H64</f>
        <v>4</v>
      </c>
      <c r="K64" s="16">
        <f t="shared" si="2"/>
        <v>72000</v>
      </c>
    </row>
    <row r="65" spans="1:11" s="13" customFormat="1" x14ac:dyDescent="0.2">
      <c r="A65" s="19" t="s">
        <v>79</v>
      </c>
      <c r="B65" s="8" t="s">
        <v>17</v>
      </c>
      <c r="C65" s="9">
        <v>14333</v>
      </c>
      <c r="D65" s="7">
        <v>0</v>
      </c>
      <c r="E65" s="10">
        <f t="shared" si="1"/>
        <v>0</v>
      </c>
      <c r="F65" s="18">
        <v>0</v>
      </c>
      <c r="G65" s="10">
        <f t="shared" si="3"/>
        <v>0</v>
      </c>
      <c r="H65" s="18">
        <v>0</v>
      </c>
      <c r="I65" s="9">
        <f t="shared" si="5"/>
        <v>0</v>
      </c>
      <c r="J65" s="12">
        <f>SUM(D65+F65)-H65</f>
        <v>0</v>
      </c>
      <c r="K65" s="9">
        <f t="shared" si="2"/>
        <v>0</v>
      </c>
    </row>
    <row r="66" spans="1:11" s="13" customFormat="1" x14ac:dyDescent="0.2">
      <c r="A66" s="19" t="s">
        <v>80</v>
      </c>
      <c r="B66" s="8" t="s">
        <v>17</v>
      </c>
      <c r="C66" s="9">
        <v>13250</v>
      </c>
      <c r="D66" s="7">
        <v>7</v>
      </c>
      <c r="E66" s="10">
        <f t="shared" si="1"/>
        <v>92750</v>
      </c>
      <c r="F66" s="11">
        <v>20</v>
      </c>
      <c r="G66" s="10">
        <f t="shared" si="3"/>
        <v>265000</v>
      </c>
      <c r="H66" s="8">
        <v>19</v>
      </c>
      <c r="I66" s="9">
        <f t="shared" si="5"/>
        <v>251750</v>
      </c>
      <c r="J66" s="12">
        <f>SUM(D66+F66)-H66</f>
        <v>8</v>
      </c>
      <c r="K66" s="9">
        <f t="shared" si="2"/>
        <v>106000</v>
      </c>
    </row>
    <row r="67" spans="1:11" s="1" customFormat="1" x14ac:dyDescent="0.2">
      <c r="A67" s="20" t="s">
        <v>81</v>
      </c>
      <c r="B67" s="15" t="s">
        <v>17</v>
      </c>
      <c r="C67" s="16">
        <v>26500</v>
      </c>
      <c r="D67" s="14">
        <v>7</v>
      </c>
      <c r="E67" s="17">
        <f t="shared" si="1"/>
        <v>185500</v>
      </c>
      <c r="F67" s="18">
        <v>40</v>
      </c>
      <c r="G67" s="10">
        <f t="shared" si="3"/>
        <v>1060000</v>
      </c>
      <c r="H67" s="15">
        <v>42</v>
      </c>
      <c r="I67" s="16">
        <f t="shared" si="5"/>
        <v>1113000</v>
      </c>
      <c r="J67" s="12">
        <f t="shared" si="4"/>
        <v>5</v>
      </c>
      <c r="K67" s="16">
        <f t="shared" si="2"/>
        <v>132500</v>
      </c>
    </row>
    <row r="68" spans="1:11" s="13" customFormat="1" x14ac:dyDescent="0.2">
      <c r="A68" s="7" t="s">
        <v>82</v>
      </c>
      <c r="B68" s="8" t="s">
        <v>62</v>
      </c>
      <c r="C68" s="9">
        <v>3000</v>
      </c>
      <c r="D68" s="7">
        <v>36</v>
      </c>
      <c r="E68" s="10">
        <f t="shared" si="1"/>
        <v>108000</v>
      </c>
      <c r="F68" s="11">
        <v>60</v>
      </c>
      <c r="G68" s="10">
        <f t="shared" si="3"/>
        <v>180000</v>
      </c>
      <c r="H68" s="8">
        <v>21</v>
      </c>
      <c r="I68" s="9">
        <f t="shared" si="5"/>
        <v>63000</v>
      </c>
      <c r="J68" s="12">
        <f t="shared" si="4"/>
        <v>75</v>
      </c>
      <c r="K68" s="9">
        <f t="shared" si="2"/>
        <v>225000</v>
      </c>
    </row>
    <row r="69" spans="1:11" s="1" customFormat="1" x14ac:dyDescent="0.2">
      <c r="A69" s="14" t="s">
        <v>83</v>
      </c>
      <c r="B69" s="15" t="s">
        <v>17</v>
      </c>
      <c r="C69" s="16">
        <v>500</v>
      </c>
      <c r="D69" s="14">
        <v>40</v>
      </c>
      <c r="E69" s="17">
        <f t="shared" si="1"/>
        <v>20000</v>
      </c>
      <c r="F69" s="18">
        <v>50</v>
      </c>
      <c r="G69" s="10">
        <f t="shared" si="3"/>
        <v>25000</v>
      </c>
      <c r="H69" s="15">
        <v>40</v>
      </c>
      <c r="I69" s="9">
        <f t="shared" si="5"/>
        <v>20000</v>
      </c>
      <c r="J69" s="12">
        <f t="shared" si="4"/>
        <v>50</v>
      </c>
      <c r="K69" s="16">
        <f t="shared" si="2"/>
        <v>25000</v>
      </c>
    </row>
    <row r="70" spans="1:11" s="13" customFormat="1" x14ac:dyDescent="0.2">
      <c r="A70" s="19" t="s">
        <v>84</v>
      </c>
      <c r="B70" s="8" t="s">
        <v>15</v>
      </c>
      <c r="C70" s="9">
        <v>12000</v>
      </c>
      <c r="D70" s="7">
        <v>2</v>
      </c>
      <c r="E70" s="10">
        <f t="shared" si="1"/>
        <v>24000</v>
      </c>
      <c r="F70" s="18">
        <v>25</v>
      </c>
      <c r="G70" s="10">
        <f t="shared" si="3"/>
        <v>300000</v>
      </c>
      <c r="H70" s="8">
        <v>27</v>
      </c>
      <c r="I70" s="9">
        <f t="shared" si="5"/>
        <v>324000</v>
      </c>
      <c r="J70" s="12">
        <f t="shared" si="4"/>
        <v>0</v>
      </c>
      <c r="K70" s="9">
        <f t="shared" si="2"/>
        <v>0</v>
      </c>
    </row>
    <row r="71" spans="1:11" s="13" customFormat="1" x14ac:dyDescent="0.2">
      <c r="A71" s="19" t="s">
        <v>85</v>
      </c>
      <c r="B71" s="8" t="s">
        <v>15</v>
      </c>
      <c r="C71" s="9">
        <v>23000</v>
      </c>
      <c r="D71" s="7">
        <v>3</v>
      </c>
      <c r="E71" s="10">
        <f t="shared" si="1"/>
        <v>69000</v>
      </c>
      <c r="F71" s="11">
        <v>6</v>
      </c>
      <c r="G71" s="10">
        <f t="shared" si="3"/>
        <v>138000</v>
      </c>
      <c r="H71" s="8">
        <v>5</v>
      </c>
      <c r="I71" s="9">
        <f t="shared" si="5"/>
        <v>115000</v>
      </c>
      <c r="J71" s="12">
        <f t="shared" si="4"/>
        <v>4</v>
      </c>
      <c r="K71" s="9">
        <f t="shared" si="2"/>
        <v>92000</v>
      </c>
    </row>
    <row r="72" spans="1:11" s="13" customFormat="1" x14ac:dyDescent="0.2">
      <c r="A72" s="7" t="s">
        <v>86</v>
      </c>
      <c r="B72" s="8" t="s">
        <v>15</v>
      </c>
      <c r="C72" s="9">
        <v>20000</v>
      </c>
      <c r="D72" s="7">
        <v>5</v>
      </c>
      <c r="E72" s="10">
        <f t="shared" si="1"/>
        <v>100000</v>
      </c>
      <c r="F72" s="11">
        <v>0</v>
      </c>
      <c r="G72" s="10">
        <f t="shared" ref="G72:G125" si="7">F72*C72</f>
        <v>0</v>
      </c>
      <c r="H72" s="8">
        <v>3</v>
      </c>
      <c r="I72" s="9">
        <f t="shared" si="5"/>
        <v>60000</v>
      </c>
      <c r="J72" s="12">
        <f t="shared" ref="J72:J77" si="8">SUM(D72+F72)-H72</f>
        <v>2</v>
      </c>
      <c r="K72" s="9">
        <f t="shared" si="2"/>
        <v>40000</v>
      </c>
    </row>
    <row r="73" spans="1:11" s="13" customFormat="1" x14ac:dyDescent="0.2">
      <c r="A73" s="7" t="s">
        <v>87</v>
      </c>
      <c r="B73" s="8" t="s">
        <v>15</v>
      </c>
      <c r="C73" s="9">
        <v>35000</v>
      </c>
      <c r="D73" s="7">
        <v>3</v>
      </c>
      <c r="E73" s="10">
        <f t="shared" si="1"/>
        <v>105000</v>
      </c>
      <c r="F73" s="11">
        <v>9</v>
      </c>
      <c r="G73" s="10">
        <f t="shared" si="7"/>
        <v>315000</v>
      </c>
      <c r="H73" s="8">
        <v>12</v>
      </c>
      <c r="I73" s="9">
        <f t="shared" si="5"/>
        <v>420000</v>
      </c>
      <c r="J73" s="12">
        <f t="shared" si="8"/>
        <v>0</v>
      </c>
      <c r="K73" s="9">
        <f t="shared" ref="K73:K125" si="9">J73*C73</f>
        <v>0</v>
      </c>
    </row>
    <row r="74" spans="1:11" s="13" customFormat="1" x14ac:dyDescent="0.2">
      <c r="A74" s="7" t="s">
        <v>88</v>
      </c>
      <c r="B74" s="8" t="s">
        <v>15</v>
      </c>
      <c r="C74" s="9">
        <v>3300</v>
      </c>
      <c r="D74" s="7">
        <v>13</v>
      </c>
      <c r="E74" s="10">
        <f>D74*C74</f>
        <v>42900</v>
      </c>
      <c r="F74" s="11">
        <v>0</v>
      </c>
      <c r="G74" s="10">
        <f t="shared" si="7"/>
        <v>0</v>
      </c>
      <c r="H74" s="8">
        <v>7</v>
      </c>
      <c r="I74" s="9">
        <f t="shared" si="5"/>
        <v>23100</v>
      </c>
      <c r="J74" s="12">
        <f t="shared" si="8"/>
        <v>6</v>
      </c>
      <c r="K74" s="9">
        <f t="shared" si="9"/>
        <v>19800</v>
      </c>
    </row>
    <row r="75" spans="1:11" s="22" customFormat="1" x14ac:dyDescent="0.2">
      <c r="A75" s="20" t="s">
        <v>89</v>
      </c>
      <c r="B75" s="15" t="s">
        <v>15</v>
      </c>
      <c r="C75" s="16">
        <v>3800</v>
      </c>
      <c r="D75" s="21">
        <v>0</v>
      </c>
      <c r="E75" s="17">
        <f t="shared" si="1"/>
        <v>0</v>
      </c>
      <c r="F75" s="18">
        <v>0</v>
      </c>
      <c r="G75" s="10">
        <f t="shared" si="7"/>
        <v>0</v>
      </c>
      <c r="H75" s="18">
        <v>0</v>
      </c>
      <c r="I75" s="16">
        <f t="shared" si="5"/>
        <v>0</v>
      </c>
      <c r="J75" s="12">
        <f t="shared" si="8"/>
        <v>0</v>
      </c>
      <c r="K75" s="16">
        <f t="shared" si="9"/>
        <v>0</v>
      </c>
    </row>
    <row r="76" spans="1:11" s="1" customFormat="1" x14ac:dyDescent="0.2">
      <c r="A76" s="20" t="s">
        <v>90</v>
      </c>
      <c r="B76" s="15" t="s">
        <v>15</v>
      </c>
      <c r="C76" s="16">
        <v>2000</v>
      </c>
      <c r="D76" s="14">
        <v>2</v>
      </c>
      <c r="E76" s="17">
        <f t="shared" si="1"/>
        <v>4000</v>
      </c>
      <c r="F76" s="18">
        <v>12</v>
      </c>
      <c r="G76" s="10">
        <f t="shared" si="7"/>
        <v>24000</v>
      </c>
      <c r="H76" s="15">
        <v>0</v>
      </c>
      <c r="I76" s="16">
        <f t="shared" si="5"/>
        <v>0</v>
      </c>
      <c r="J76" s="12">
        <f t="shared" si="8"/>
        <v>14</v>
      </c>
      <c r="K76" s="16">
        <f t="shared" si="9"/>
        <v>28000</v>
      </c>
    </row>
    <row r="77" spans="1:11" s="13" customFormat="1" x14ac:dyDescent="0.2">
      <c r="A77" s="19" t="s">
        <v>91</v>
      </c>
      <c r="B77" s="8" t="s">
        <v>15</v>
      </c>
      <c r="C77" s="9">
        <v>1000</v>
      </c>
      <c r="D77" s="7">
        <v>25</v>
      </c>
      <c r="E77" s="10">
        <f t="shared" si="1"/>
        <v>25000</v>
      </c>
      <c r="F77" s="11">
        <v>84</v>
      </c>
      <c r="G77" s="10">
        <f t="shared" si="7"/>
        <v>84000</v>
      </c>
      <c r="H77" s="8">
        <v>109</v>
      </c>
      <c r="I77" s="9">
        <f t="shared" si="5"/>
        <v>109000</v>
      </c>
      <c r="J77" s="12">
        <f t="shared" si="8"/>
        <v>0</v>
      </c>
      <c r="K77" s="9">
        <f t="shared" si="9"/>
        <v>0</v>
      </c>
    </row>
    <row r="78" spans="1:11" s="1" customFormat="1" x14ac:dyDescent="0.2">
      <c r="A78" s="20" t="s">
        <v>92</v>
      </c>
      <c r="B78" s="15" t="s">
        <v>15</v>
      </c>
      <c r="C78" s="16">
        <v>6000</v>
      </c>
      <c r="D78" s="14">
        <v>1</v>
      </c>
      <c r="E78" s="17">
        <f t="shared" si="1"/>
        <v>6000</v>
      </c>
      <c r="F78" s="18">
        <v>0</v>
      </c>
      <c r="G78" s="10">
        <f t="shared" si="7"/>
        <v>0</v>
      </c>
      <c r="H78" s="18">
        <v>0</v>
      </c>
      <c r="I78" s="16">
        <f t="shared" si="5"/>
        <v>0</v>
      </c>
      <c r="J78" s="12">
        <f>SUM(D78+F78)-H78</f>
        <v>1</v>
      </c>
      <c r="K78" s="16">
        <f t="shared" si="9"/>
        <v>6000</v>
      </c>
    </row>
    <row r="79" spans="1:11" s="1" customFormat="1" x14ac:dyDescent="0.2">
      <c r="A79" s="20" t="s">
        <v>93</v>
      </c>
      <c r="B79" s="15" t="s">
        <v>15</v>
      </c>
      <c r="C79" s="16">
        <v>2000</v>
      </c>
      <c r="D79" s="14">
        <v>0</v>
      </c>
      <c r="E79" s="17">
        <f t="shared" si="1"/>
        <v>0</v>
      </c>
      <c r="F79" s="18">
        <v>0</v>
      </c>
      <c r="G79" s="10">
        <f t="shared" si="7"/>
        <v>0</v>
      </c>
      <c r="H79" s="18">
        <v>0</v>
      </c>
      <c r="I79" s="16">
        <f t="shared" si="5"/>
        <v>0</v>
      </c>
      <c r="J79" s="12">
        <f t="shared" ref="J79:J89" si="10">SUM(D79+F79)-H79</f>
        <v>0</v>
      </c>
      <c r="K79" s="16">
        <f t="shared" si="9"/>
        <v>0</v>
      </c>
    </row>
    <row r="80" spans="1:11" s="1" customFormat="1" x14ac:dyDescent="0.2">
      <c r="A80" s="23" t="s">
        <v>94</v>
      </c>
      <c r="B80" s="24" t="s">
        <v>15</v>
      </c>
      <c r="C80" s="25">
        <v>3000</v>
      </c>
      <c r="D80" s="14">
        <v>3</v>
      </c>
      <c r="E80" s="26">
        <f t="shared" si="1"/>
        <v>9000</v>
      </c>
      <c r="F80" s="18">
        <v>0</v>
      </c>
      <c r="G80" s="10">
        <f t="shared" si="7"/>
        <v>0</v>
      </c>
      <c r="H80" s="18">
        <v>0</v>
      </c>
      <c r="I80" s="25">
        <f t="shared" si="5"/>
        <v>0</v>
      </c>
      <c r="J80" s="12">
        <f t="shared" si="10"/>
        <v>3</v>
      </c>
      <c r="K80" s="25">
        <f t="shared" si="9"/>
        <v>9000</v>
      </c>
    </row>
    <row r="81" spans="1:11" s="13" customFormat="1" x14ac:dyDescent="0.2">
      <c r="A81" s="19" t="s">
        <v>95</v>
      </c>
      <c r="B81" s="8" t="s">
        <v>15</v>
      </c>
      <c r="C81" s="9">
        <v>8000</v>
      </c>
      <c r="D81" s="7">
        <v>2</v>
      </c>
      <c r="E81" s="10">
        <f t="shared" si="1"/>
        <v>16000</v>
      </c>
      <c r="F81" s="18">
        <v>0</v>
      </c>
      <c r="G81" s="10">
        <f t="shared" si="7"/>
        <v>0</v>
      </c>
      <c r="H81" s="18">
        <v>1</v>
      </c>
      <c r="I81" s="9">
        <f t="shared" si="5"/>
        <v>8000</v>
      </c>
      <c r="J81" s="12">
        <f t="shared" si="10"/>
        <v>1</v>
      </c>
      <c r="K81" s="9">
        <f t="shared" si="9"/>
        <v>8000</v>
      </c>
    </row>
    <row r="82" spans="1:11" s="1" customFormat="1" x14ac:dyDescent="0.2">
      <c r="A82" s="20" t="s">
        <v>96</v>
      </c>
      <c r="B82" s="15" t="s">
        <v>15</v>
      </c>
      <c r="C82" s="16">
        <v>5000</v>
      </c>
      <c r="D82" s="14">
        <v>3</v>
      </c>
      <c r="E82" s="17">
        <f t="shared" ref="E82:E125" si="11">D82*C82</f>
        <v>15000</v>
      </c>
      <c r="F82" s="18">
        <v>0</v>
      </c>
      <c r="G82" s="10">
        <f t="shared" si="7"/>
        <v>0</v>
      </c>
      <c r="H82" s="18">
        <v>0</v>
      </c>
      <c r="I82" s="16">
        <f t="shared" si="5"/>
        <v>0</v>
      </c>
      <c r="J82" s="12">
        <f t="shared" si="10"/>
        <v>3</v>
      </c>
      <c r="K82" s="16">
        <f t="shared" si="9"/>
        <v>15000</v>
      </c>
    </row>
    <row r="83" spans="1:11" s="13" customFormat="1" x14ac:dyDescent="0.2">
      <c r="A83" s="20" t="s">
        <v>97</v>
      </c>
      <c r="B83" s="15" t="s">
        <v>15</v>
      </c>
      <c r="C83" s="16">
        <v>2000</v>
      </c>
      <c r="D83" s="7">
        <v>0</v>
      </c>
      <c r="E83" s="17">
        <f t="shared" si="11"/>
        <v>0</v>
      </c>
      <c r="F83" s="18">
        <v>0</v>
      </c>
      <c r="G83" s="10">
        <f t="shared" si="7"/>
        <v>0</v>
      </c>
      <c r="H83" s="18">
        <v>0</v>
      </c>
      <c r="I83" s="16">
        <f t="shared" si="5"/>
        <v>0</v>
      </c>
      <c r="J83" s="12">
        <f t="shared" si="10"/>
        <v>0</v>
      </c>
      <c r="K83" s="16">
        <f t="shared" si="9"/>
        <v>0</v>
      </c>
    </row>
    <row r="84" spans="1:11" s="13" customFormat="1" x14ac:dyDescent="0.2">
      <c r="A84" s="19" t="s">
        <v>98</v>
      </c>
      <c r="B84" s="8" t="s">
        <v>15</v>
      </c>
      <c r="C84" s="9">
        <v>9000</v>
      </c>
      <c r="D84" s="7">
        <v>0</v>
      </c>
      <c r="E84" s="10">
        <f t="shared" si="11"/>
        <v>0</v>
      </c>
      <c r="F84" s="11">
        <v>4</v>
      </c>
      <c r="G84" s="10">
        <f t="shared" si="7"/>
        <v>36000</v>
      </c>
      <c r="H84" s="8">
        <v>1</v>
      </c>
      <c r="I84" s="9">
        <f t="shared" ref="I84:I125" si="12">H84*C84</f>
        <v>9000</v>
      </c>
      <c r="J84" s="12">
        <f>SUM(D84+F84)-H84</f>
        <v>3</v>
      </c>
      <c r="K84" s="9">
        <f t="shared" si="9"/>
        <v>27000</v>
      </c>
    </row>
    <row r="85" spans="1:11" s="1" customFormat="1" x14ac:dyDescent="0.2">
      <c r="A85" s="20" t="s">
        <v>99</v>
      </c>
      <c r="B85" s="15" t="s">
        <v>15</v>
      </c>
      <c r="C85" s="16">
        <v>7000</v>
      </c>
      <c r="D85" s="14">
        <v>4</v>
      </c>
      <c r="E85" s="17">
        <f t="shared" si="11"/>
        <v>28000</v>
      </c>
      <c r="F85" s="18">
        <v>6</v>
      </c>
      <c r="G85" s="10">
        <f t="shared" si="7"/>
        <v>42000</v>
      </c>
      <c r="H85" s="15">
        <v>5</v>
      </c>
      <c r="I85" s="16">
        <f t="shared" si="12"/>
        <v>35000</v>
      </c>
      <c r="J85" s="12">
        <f t="shared" si="10"/>
        <v>5</v>
      </c>
      <c r="K85" s="16">
        <f t="shared" si="9"/>
        <v>35000</v>
      </c>
    </row>
    <row r="86" spans="1:11" s="1" customFormat="1" x14ac:dyDescent="0.2">
      <c r="A86" s="20" t="s">
        <v>100</v>
      </c>
      <c r="B86" s="15" t="s">
        <v>15</v>
      </c>
      <c r="C86" s="16">
        <v>14000</v>
      </c>
      <c r="D86" s="14">
        <v>1</v>
      </c>
      <c r="E86" s="17">
        <f t="shared" si="11"/>
        <v>14000</v>
      </c>
      <c r="F86" s="18">
        <v>0</v>
      </c>
      <c r="G86" s="10">
        <f t="shared" si="7"/>
        <v>0</v>
      </c>
      <c r="H86" s="18">
        <v>0</v>
      </c>
      <c r="I86" s="16">
        <f t="shared" si="12"/>
        <v>0</v>
      </c>
      <c r="J86" s="12">
        <f t="shared" si="10"/>
        <v>1</v>
      </c>
      <c r="K86" s="16">
        <f t="shared" si="9"/>
        <v>14000</v>
      </c>
    </row>
    <row r="87" spans="1:11" s="1" customFormat="1" x14ac:dyDescent="0.2">
      <c r="A87" s="19" t="s">
        <v>101</v>
      </c>
      <c r="B87" s="15" t="s">
        <v>15</v>
      </c>
      <c r="C87" s="16">
        <v>3000</v>
      </c>
      <c r="D87" s="14">
        <v>4</v>
      </c>
      <c r="E87" s="17">
        <f t="shared" si="11"/>
        <v>12000</v>
      </c>
      <c r="F87" s="18">
        <v>0</v>
      </c>
      <c r="G87" s="10">
        <f t="shared" si="7"/>
        <v>0</v>
      </c>
      <c r="H87" s="18">
        <v>0</v>
      </c>
      <c r="I87" s="16">
        <f t="shared" si="12"/>
        <v>0</v>
      </c>
      <c r="J87" s="12">
        <f t="shared" si="10"/>
        <v>4</v>
      </c>
      <c r="K87" s="16">
        <f t="shared" si="9"/>
        <v>12000</v>
      </c>
    </row>
    <row r="88" spans="1:11" s="13" customFormat="1" x14ac:dyDescent="0.2">
      <c r="A88" s="19" t="s">
        <v>102</v>
      </c>
      <c r="B88" s="8" t="s">
        <v>15</v>
      </c>
      <c r="C88" s="9">
        <v>235000</v>
      </c>
      <c r="D88" s="7">
        <v>1</v>
      </c>
      <c r="E88" s="10">
        <f t="shared" si="11"/>
        <v>235000</v>
      </c>
      <c r="F88" s="18">
        <v>0</v>
      </c>
      <c r="G88" s="10">
        <f t="shared" si="7"/>
        <v>0</v>
      </c>
      <c r="H88" s="18">
        <v>0</v>
      </c>
      <c r="I88" s="16">
        <f t="shared" si="12"/>
        <v>0</v>
      </c>
      <c r="J88" s="12">
        <f t="shared" si="10"/>
        <v>1</v>
      </c>
      <c r="K88" s="9">
        <f t="shared" si="9"/>
        <v>235000</v>
      </c>
    </row>
    <row r="89" spans="1:11" s="13" customFormat="1" x14ac:dyDescent="0.2">
      <c r="A89" s="19" t="s">
        <v>103</v>
      </c>
      <c r="B89" s="8" t="s">
        <v>15</v>
      </c>
      <c r="C89" s="9">
        <v>285000</v>
      </c>
      <c r="D89" s="7">
        <v>2</v>
      </c>
      <c r="E89" s="10">
        <f t="shared" si="11"/>
        <v>570000</v>
      </c>
      <c r="F89" s="18">
        <v>0</v>
      </c>
      <c r="G89" s="10">
        <f t="shared" si="7"/>
        <v>0</v>
      </c>
      <c r="H89" s="18">
        <v>1</v>
      </c>
      <c r="I89" s="9">
        <f t="shared" si="12"/>
        <v>285000</v>
      </c>
      <c r="J89" s="12">
        <f t="shared" si="10"/>
        <v>1</v>
      </c>
      <c r="K89" s="9">
        <f t="shared" si="9"/>
        <v>285000</v>
      </c>
    </row>
    <row r="90" spans="1:11" s="1" customFormat="1" x14ac:dyDescent="0.2">
      <c r="A90" s="20" t="s">
        <v>104</v>
      </c>
      <c r="B90" s="15" t="s">
        <v>62</v>
      </c>
      <c r="C90" s="16">
        <v>3500</v>
      </c>
      <c r="D90" s="14">
        <v>0</v>
      </c>
      <c r="E90" s="17">
        <f t="shared" si="11"/>
        <v>0</v>
      </c>
      <c r="F90" s="18">
        <v>0</v>
      </c>
      <c r="G90" s="10">
        <f t="shared" si="7"/>
        <v>0</v>
      </c>
      <c r="H90" s="18">
        <v>0</v>
      </c>
      <c r="I90" s="16">
        <f t="shared" si="12"/>
        <v>0</v>
      </c>
      <c r="J90" s="12">
        <f>SUM(D90+F90)-H90</f>
        <v>0</v>
      </c>
      <c r="K90" s="16">
        <f t="shared" si="9"/>
        <v>0</v>
      </c>
    </row>
    <row r="91" spans="1:11" s="22" customFormat="1" x14ac:dyDescent="0.2">
      <c r="A91" s="20" t="s">
        <v>105</v>
      </c>
      <c r="B91" s="15" t="s">
        <v>62</v>
      </c>
      <c r="C91" s="16">
        <v>25000</v>
      </c>
      <c r="D91" s="21">
        <v>2</v>
      </c>
      <c r="E91" s="17">
        <f t="shared" si="11"/>
        <v>50000</v>
      </c>
      <c r="F91" s="18">
        <v>0</v>
      </c>
      <c r="G91" s="10">
        <f t="shared" si="7"/>
        <v>0</v>
      </c>
      <c r="H91" s="18">
        <v>0</v>
      </c>
      <c r="I91" s="16">
        <f t="shared" si="12"/>
        <v>0</v>
      </c>
      <c r="J91" s="12">
        <f t="shared" ref="J91:J103" si="13">SUM(D91+F91)-H91</f>
        <v>2</v>
      </c>
      <c r="K91" s="16">
        <f t="shared" si="9"/>
        <v>50000</v>
      </c>
    </row>
    <row r="92" spans="1:11" s="1" customFormat="1" x14ac:dyDescent="0.2">
      <c r="A92" s="20" t="s">
        <v>106</v>
      </c>
      <c r="B92" s="15" t="s">
        <v>17</v>
      </c>
      <c r="C92" s="16">
        <v>250000</v>
      </c>
      <c r="D92" s="14">
        <v>1</v>
      </c>
      <c r="E92" s="17">
        <f t="shared" si="11"/>
        <v>250000</v>
      </c>
      <c r="F92" s="18">
        <v>0</v>
      </c>
      <c r="G92" s="10">
        <f t="shared" si="7"/>
        <v>0</v>
      </c>
      <c r="H92" s="18">
        <v>0</v>
      </c>
      <c r="I92" s="16">
        <f t="shared" si="12"/>
        <v>0</v>
      </c>
      <c r="J92" s="12">
        <f t="shared" si="13"/>
        <v>1</v>
      </c>
      <c r="K92" s="16">
        <f t="shared" si="9"/>
        <v>250000</v>
      </c>
    </row>
    <row r="93" spans="1:11" s="1" customFormat="1" x14ac:dyDescent="0.2">
      <c r="A93" s="20" t="s">
        <v>107</v>
      </c>
      <c r="B93" s="15" t="s">
        <v>17</v>
      </c>
      <c r="C93" s="16">
        <v>4500</v>
      </c>
      <c r="D93" s="14">
        <v>2</v>
      </c>
      <c r="E93" s="17">
        <f t="shared" si="11"/>
        <v>9000</v>
      </c>
      <c r="F93" s="18">
        <v>0</v>
      </c>
      <c r="G93" s="10">
        <f t="shared" si="7"/>
        <v>0</v>
      </c>
      <c r="H93" s="18">
        <v>0</v>
      </c>
      <c r="I93" s="16">
        <f t="shared" si="12"/>
        <v>0</v>
      </c>
      <c r="J93" s="12">
        <f t="shared" si="13"/>
        <v>2</v>
      </c>
      <c r="K93" s="16">
        <f t="shared" si="9"/>
        <v>9000</v>
      </c>
    </row>
    <row r="94" spans="1:11" s="1" customFormat="1" x14ac:dyDescent="0.2">
      <c r="A94" s="20" t="s">
        <v>108</v>
      </c>
      <c r="B94" s="15" t="s">
        <v>17</v>
      </c>
      <c r="C94" s="16">
        <v>6000</v>
      </c>
      <c r="D94" s="14">
        <v>1</v>
      </c>
      <c r="E94" s="17">
        <f t="shared" si="11"/>
        <v>6000</v>
      </c>
      <c r="F94" s="18">
        <v>2</v>
      </c>
      <c r="G94" s="10">
        <f t="shared" si="7"/>
        <v>12000</v>
      </c>
      <c r="H94" s="18">
        <v>0</v>
      </c>
      <c r="I94" s="16">
        <f t="shared" si="12"/>
        <v>0</v>
      </c>
      <c r="J94" s="12">
        <f t="shared" si="13"/>
        <v>3</v>
      </c>
      <c r="K94" s="16">
        <f t="shared" si="9"/>
        <v>18000</v>
      </c>
    </row>
    <row r="95" spans="1:11" s="1" customFormat="1" x14ac:dyDescent="0.2">
      <c r="A95" s="20" t="s">
        <v>109</v>
      </c>
      <c r="B95" s="15" t="s">
        <v>17</v>
      </c>
      <c r="C95" s="16">
        <v>15000</v>
      </c>
      <c r="D95" s="14">
        <v>1</v>
      </c>
      <c r="E95" s="17">
        <f t="shared" si="11"/>
        <v>15000</v>
      </c>
      <c r="F95" s="18">
        <v>0</v>
      </c>
      <c r="G95" s="10">
        <f t="shared" si="7"/>
        <v>0</v>
      </c>
      <c r="H95" s="18">
        <v>0</v>
      </c>
      <c r="I95" s="16">
        <f t="shared" si="12"/>
        <v>0</v>
      </c>
      <c r="J95" s="12">
        <f t="shared" si="13"/>
        <v>1</v>
      </c>
      <c r="K95" s="16">
        <f t="shared" si="9"/>
        <v>15000</v>
      </c>
    </row>
    <row r="96" spans="1:11" s="1" customFormat="1" x14ac:dyDescent="0.2">
      <c r="A96" s="23" t="s">
        <v>110</v>
      </c>
      <c r="B96" s="24" t="s">
        <v>62</v>
      </c>
      <c r="C96" s="25">
        <v>10000</v>
      </c>
      <c r="D96" s="14">
        <v>4</v>
      </c>
      <c r="E96" s="26">
        <f t="shared" si="11"/>
        <v>40000</v>
      </c>
      <c r="F96" s="18">
        <v>0</v>
      </c>
      <c r="G96" s="10">
        <f t="shared" si="7"/>
        <v>0</v>
      </c>
      <c r="H96" s="18">
        <v>0</v>
      </c>
      <c r="I96" s="25">
        <f t="shared" si="12"/>
        <v>0</v>
      </c>
      <c r="J96" s="12">
        <f t="shared" si="13"/>
        <v>4</v>
      </c>
      <c r="K96" s="25">
        <f t="shared" si="9"/>
        <v>40000</v>
      </c>
    </row>
    <row r="97" spans="1:11" s="1" customFormat="1" ht="14.25" customHeight="1" x14ac:dyDescent="0.2">
      <c r="A97" s="20" t="s">
        <v>111</v>
      </c>
      <c r="B97" s="15" t="s">
        <v>17</v>
      </c>
      <c r="C97" s="16">
        <v>27000</v>
      </c>
      <c r="D97" s="14">
        <v>4</v>
      </c>
      <c r="E97" s="17">
        <f t="shared" si="11"/>
        <v>108000</v>
      </c>
      <c r="F97" s="18">
        <v>0</v>
      </c>
      <c r="G97" s="10">
        <f t="shared" si="7"/>
        <v>0</v>
      </c>
      <c r="H97" s="18">
        <v>0</v>
      </c>
      <c r="I97" s="16">
        <f t="shared" si="12"/>
        <v>0</v>
      </c>
      <c r="J97" s="12">
        <f t="shared" si="13"/>
        <v>4</v>
      </c>
      <c r="K97" s="16">
        <f t="shared" si="9"/>
        <v>108000</v>
      </c>
    </row>
    <row r="98" spans="1:11" s="1" customFormat="1" x14ac:dyDescent="0.2">
      <c r="A98" s="27" t="s">
        <v>112</v>
      </c>
      <c r="B98" s="15" t="s">
        <v>17</v>
      </c>
      <c r="C98" s="16">
        <v>70000</v>
      </c>
      <c r="D98" s="14">
        <v>0</v>
      </c>
      <c r="E98" s="28">
        <f t="shared" si="11"/>
        <v>0</v>
      </c>
      <c r="F98" s="18">
        <v>0</v>
      </c>
      <c r="G98" s="10">
        <f t="shared" si="7"/>
        <v>0</v>
      </c>
      <c r="H98" s="18">
        <v>0</v>
      </c>
      <c r="I98" s="16">
        <f t="shared" si="12"/>
        <v>0</v>
      </c>
      <c r="J98" s="12">
        <f t="shared" si="13"/>
        <v>0</v>
      </c>
      <c r="K98" s="16">
        <f t="shared" si="9"/>
        <v>0</v>
      </c>
    </row>
    <row r="99" spans="1:11" s="22" customFormat="1" x14ac:dyDescent="0.2">
      <c r="A99" s="27" t="s">
        <v>113</v>
      </c>
      <c r="B99" s="15" t="s">
        <v>62</v>
      </c>
      <c r="C99" s="16">
        <v>1500</v>
      </c>
      <c r="D99" s="21">
        <v>50</v>
      </c>
      <c r="E99" s="28">
        <f t="shared" si="11"/>
        <v>75000</v>
      </c>
      <c r="F99" s="18">
        <v>0</v>
      </c>
      <c r="G99" s="10">
        <f t="shared" si="7"/>
        <v>0</v>
      </c>
      <c r="H99" s="18">
        <v>0</v>
      </c>
      <c r="I99" s="16">
        <f t="shared" si="12"/>
        <v>0</v>
      </c>
      <c r="J99" s="12">
        <f t="shared" si="13"/>
        <v>50</v>
      </c>
      <c r="K99" s="16">
        <f t="shared" si="9"/>
        <v>75000</v>
      </c>
    </row>
    <row r="100" spans="1:11" s="22" customFormat="1" ht="15" customHeight="1" x14ac:dyDescent="0.2">
      <c r="A100" s="20" t="s">
        <v>114</v>
      </c>
      <c r="B100" s="15" t="s">
        <v>17</v>
      </c>
      <c r="C100" s="16">
        <v>460000</v>
      </c>
      <c r="D100" s="21">
        <v>0</v>
      </c>
      <c r="E100" s="17">
        <f t="shared" si="11"/>
        <v>0</v>
      </c>
      <c r="F100" s="18">
        <v>0</v>
      </c>
      <c r="G100" s="10">
        <f t="shared" si="7"/>
        <v>0</v>
      </c>
      <c r="H100" s="18">
        <v>0</v>
      </c>
      <c r="I100" s="16">
        <f t="shared" si="12"/>
        <v>0</v>
      </c>
      <c r="J100" s="12">
        <f t="shared" si="13"/>
        <v>0</v>
      </c>
      <c r="K100" s="16">
        <f t="shared" si="9"/>
        <v>0</v>
      </c>
    </row>
    <row r="101" spans="1:11" s="13" customFormat="1" x14ac:dyDescent="0.2">
      <c r="A101" s="29" t="s">
        <v>115</v>
      </c>
      <c r="B101" s="8" t="s">
        <v>17</v>
      </c>
      <c r="C101" s="9">
        <v>20000</v>
      </c>
      <c r="D101" s="7">
        <v>11</v>
      </c>
      <c r="E101" s="30">
        <f t="shared" si="11"/>
        <v>220000</v>
      </c>
      <c r="F101" s="11">
        <v>8</v>
      </c>
      <c r="G101" s="10">
        <f t="shared" si="7"/>
        <v>160000</v>
      </c>
      <c r="H101" s="8">
        <v>15</v>
      </c>
      <c r="I101" s="9">
        <f t="shared" si="12"/>
        <v>300000</v>
      </c>
      <c r="J101" s="12">
        <f t="shared" si="13"/>
        <v>4</v>
      </c>
      <c r="K101" s="9">
        <f t="shared" si="9"/>
        <v>80000</v>
      </c>
    </row>
    <row r="102" spans="1:11" s="13" customFormat="1" x14ac:dyDescent="0.2">
      <c r="A102" s="31" t="s">
        <v>116</v>
      </c>
      <c r="B102" s="8" t="s">
        <v>17</v>
      </c>
      <c r="C102" s="9">
        <v>50000</v>
      </c>
      <c r="D102" s="7">
        <v>0</v>
      </c>
      <c r="E102" s="30">
        <f t="shared" si="11"/>
        <v>0</v>
      </c>
      <c r="F102" s="18">
        <v>0</v>
      </c>
      <c r="G102" s="10">
        <f t="shared" si="7"/>
        <v>0</v>
      </c>
      <c r="H102" s="18">
        <v>0</v>
      </c>
      <c r="I102" s="9">
        <f t="shared" si="12"/>
        <v>0</v>
      </c>
      <c r="J102" s="12">
        <f t="shared" si="13"/>
        <v>0</v>
      </c>
      <c r="K102" s="7">
        <f t="shared" si="9"/>
        <v>0</v>
      </c>
    </row>
    <row r="103" spans="1:11" s="22" customFormat="1" ht="16.5" customHeight="1" x14ac:dyDescent="0.2">
      <c r="A103" s="20" t="s">
        <v>117</v>
      </c>
      <c r="B103" s="15" t="s">
        <v>62</v>
      </c>
      <c r="C103" s="16">
        <v>20000</v>
      </c>
      <c r="D103" s="21">
        <v>7</v>
      </c>
      <c r="E103" s="17">
        <f t="shared" si="11"/>
        <v>140000</v>
      </c>
      <c r="F103" s="18">
        <v>0</v>
      </c>
      <c r="G103" s="10">
        <f>F103*C103</f>
        <v>0</v>
      </c>
      <c r="H103" s="18">
        <v>7</v>
      </c>
      <c r="I103" s="16">
        <f t="shared" si="12"/>
        <v>140000</v>
      </c>
      <c r="J103" s="12">
        <f t="shared" si="13"/>
        <v>0</v>
      </c>
      <c r="K103" s="16">
        <f t="shared" si="9"/>
        <v>0</v>
      </c>
    </row>
    <row r="104" spans="1:11" s="22" customFormat="1" x14ac:dyDescent="0.2">
      <c r="A104" s="20" t="s">
        <v>118</v>
      </c>
      <c r="B104" s="15" t="s">
        <v>15</v>
      </c>
      <c r="C104" s="16">
        <v>20000</v>
      </c>
      <c r="D104" s="21">
        <v>7</v>
      </c>
      <c r="E104" s="17">
        <f t="shared" si="11"/>
        <v>140000</v>
      </c>
      <c r="F104" s="18">
        <v>0</v>
      </c>
      <c r="G104" s="10">
        <f t="shared" si="7"/>
        <v>0</v>
      </c>
      <c r="H104" s="18">
        <v>3</v>
      </c>
      <c r="I104" s="16">
        <f t="shared" si="12"/>
        <v>60000</v>
      </c>
      <c r="J104" s="12">
        <f>SUM(D104+F104)-H104</f>
        <v>4</v>
      </c>
      <c r="K104" s="16">
        <f t="shared" si="9"/>
        <v>80000</v>
      </c>
    </row>
    <row r="105" spans="1:11" s="22" customFormat="1" x14ac:dyDescent="0.2">
      <c r="A105" s="20" t="s">
        <v>119</v>
      </c>
      <c r="B105" s="15" t="s">
        <v>15</v>
      </c>
      <c r="C105" s="16">
        <v>30000</v>
      </c>
      <c r="D105" s="21">
        <v>3</v>
      </c>
      <c r="E105" s="17">
        <f t="shared" si="11"/>
        <v>90000</v>
      </c>
      <c r="F105" s="18">
        <v>0</v>
      </c>
      <c r="G105" s="10">
        <f t="shared" si="7"/>
        <v>0</v>
      </c>
      <c r="H105" s="18">
        <v>0</v>
      </c>
      <c r="I105" s="16">
        <f t="shared" si="12"/>
        <v>0</v>
      </c>
      <c r="J105" s="12">
        <f>SUM(D105+F105)-H105</f>
        <v>3</v>
      </c>
      <c r="K105" s="16">
        <f t="shared" si="9"/>
        <v>90000</v>
      </c>
    </row>
    <row r="106" spans="1:11" s="22" customFormat="1" x14ac:dyDescent="0.2">
      <c r="A106" s="20" t="s">
        <v>120</v>
      </c>
      <c r="B106" s="15" t="s">
        <v>62</v>
      </c>
      <c r="C106" s="16">
        <v>30000</v>
      </c>
      <c r="D106" s="21">
        <v>2</v>
      </c>
      <c r="E106" s="17">
        <f t="shared" si="11"/>
        <v>60000</v>
      </c>
      <c r="F106" s="18">
        <v>0</v>
      </c>
      <c r="G106" s="10">
        <f t="shared" si="7"/>
        <v>0</v>
      </c>
      <c r="H106" s="18">
        <v>0</v>
      </c>
      <c r="I106" s="16">
        <f t="shared" si="12"/>
        <v>0</v>
      </c>
      <c r="J106" s="12">
        <f t="shared" ref="J106:J117" si="14">SUM(D106+F106)-H106</f>
        <v>2</v>
      </c>
      <c r="K106" s="16">
        <f t="shared" si="9"/>
        <v>60000</v>
      </c>
    </row>
    <row r="107" spans="1:11" s="22" customFormat="1" x14ac:dyDescent="0.2">
      <c r="A107" s="20" t="s">
        <v>121</v>
      </c>
      <c r="B107" s="15" t="s">
        <v>62</v>
      </c>
      <c r="C107" s="16">
        <v>15000</v>
      </c>
      <c r="D107" s="21">
        <v>0</v>
      </c>
      <c r="E107" s="17">
        <v>0</v>
      </c>
      <c r="F107" s="18">
        <v>0</v>
      </c>
      <c r="G107" s="10">
        <f t="shared" si="7"/>
        <v>0</v>
      </c>
      <c r="H107" s="18">
        <v>0</v>
      </c>
      <c r="I107" s="16">
        <f t="shared" si="12"/>
        <v>0</v>
      </c>
      <c r="J107" s="12">
        <f t="shared" si="14"/>
        <v>0</v>
      </c>
      <c r="K107" s="16">
        <f t="shared" si="9"/>
        <v>0</v>
      </c>
    </row>
    <row r="108" spans="1:11" s="1" customFormat="1" x14ac:dyDescent="0.2">
      <c r="A108" s="20" t="s">
        <v>122</v>
      </c>
      <c r="B108" s="15" t="s">
        <v>15</v>
      </c>
      <c r="C108" s="16">
        <v>10000</v>
      </c>
      <c r="D108" s="14">
        <v>0</v>
      </c>
      <c r="E108" s="17">
        <f t="shared" si="11"/>
        <v>0</v>
      </c>
      <c r="F108" s="18">
        <v>0</v>
      </c>
      <c r="G108" s="10">
        <f t="shared" si="7"/>
        <v>0</v>
      </c>
      <c r="H108" s="18">
        <v>0</v>
      </c>
      <c r="I108" s="16">
        <f t="shared" si="12"/>
        <v>0</v>
      </c>
      <c r="J108" s="12">
        <f t="shared" si="14"/>
        <v>0</v>
      </c>
      <c r="K108" s="16">
        <f t="shared" si="9"/>
        <v>0</v>
      </c>
    </row>
    <row r="109" spans="1:11" s="1" customFormat="1" x14ac:dyDescent="0.2">
      <c r="A109" s="19" t="s">
        <v>123</v>
      </c>
      <c r="B109" s="8" t="s">
        <v>124</v>
      </c>
      <c r="C109" s="9">
        <v>1000</v>
      </c>
      <c r="D109" s="14">
        <v>100</v>
      </c>
      <c r="E109" s="10">
        <f t="shared" si="11"/>
        <v>100000</v>
      </c>
      <c r="F109" s="18">
        <v>0</v>
      </c>
      <c r="G109" s="10">
        <f t="shared" si="7"/>
        <v>0</v>
      </c>
      <c r="H109" s="8">
        <v>0</v>
      </c>
      <c r="I109" s="16">
        <f t="shared" si="12"/>
        <v>0</v>
      </c>
      <c r="J109" s="12">
        <f t="shared" si="14"/>
        <v>100</v>
      </c>
      <c r="K109" s="9">
        <f t="shared" si="9"/>
        <v>100000</v>
      </c>
    </row>
    <row r="110" spans="1:11" s="1" customFormat="1" x14ac:dyDescent="0.2">
      <c r="A110" s="23" t="s">
        <v>125</v>
      </c>
      <c r="B110" s="24" t="s">
        <v>15</v>
      </c>
      <c r="C110" s="25">
        <v>6000</v>
      </c>
      <c r="D110" s="14">
        <v>0</v>
      </c>
      <c r="E110" s="26">
        <f t="shared" si="11"/>
        <v>0</v>
      </c>
      <c r="F110" s="18">
        <v>0</v>
      </c>
      <c r="G110" s="10">
        <f t="shared" si="7"/>
        <v>0</v>
      </c>
      <c r="H110" s="18">
        <v>0</v>
      </c>
      <c r="I110" s="25">
        <f t="shared" si="12"/>
        <v>0</v>
      </c>
      <c r="J110" s="12">
        <f t="shared" si="14"/>
        <v>0</v>
      </c>
      <c r="K110" s="25">
        <f t="shared" si="9"/>
        <v>0</v>
      </c>
    </row>
    <row r="111" spans="1:11" s="1" customFormat="1" x14ac:dyDescent="0.2">
      <c r="A111" s="23" t="s">
        <v>126</v>
      </c>
      <c r="B111" s="24" t="s">
        <v>15</v>
      </c>
      <c r="C111" s="25">
        <v>5000</v>
      </c>
      <c r="D111" s="14">
        <v>4</v>
      </c>
      <c r="E111" s="26">
        <f t="shared" si="11"/>
        <v>20000</v>
      </c>
      <c r="F111" s="18">
        <v>0</v>
      </c>
      <c r="G111" s="10">
        <f t="shared" si="7"/>
        <v>0</v>
      </c>
      <c r="H111" s="18">
        <v>0</v>
      </c>
      <c r="I111" s="25">
        <f t="shared" si="12"/>
        <v>0</v>
      </c>
      <c r="J111" s="12">
        <f t="shared" si="14"/>
        <v>4</v>
      </c>
      <c r="K111" s="25">
        <f t="shared" si="9"/>
        <v>20000</v>
      </c>
    </row>
    <row r="112" spans="1:11" s="13" customFormat="1" x14ac:dyDescent="0.2">
      <c r="A112" s="19" t="s">
        <v>127</v>
      </c>
      <c r="B112" s="8" t="s">
        <v>15</v>
      </c>
      <c r="C112" s="9">
        <v>15000</v>
      </c>
      <c r="D112" s="7">
        <v>4</v>
      </c>
      <c r="E112" s="10">
        <f t="shared" si="11"/>
        <v>60000</v>
      </c>
      <c r="F112" s="18">
        <v>10</v>
      </c>
      <c r="G112" s="10">
        <f t="shared" si="7"/>
        <v>150000</v>
      </c>
      <c r="H112" s="8">
        <v>14</v>
      </c>
      <c r="I112" s="9">
        <f t="shared" si="12"/>
        <v>210000</v>
      </c>
      <c r="J112" s="12">
        <f t="shared" si="14"/>
        <v>0</v>
      </c>
      <c r="K112" s="9">
        <f t="shared" si="9"/>
        <v>0</v>
      </c>
    </row>
    <row r="113" spans="1:11" s="13" customFormat="1" x14ac:dyDescent="0.2">
      <c r="A113" s="19" t="s">
        <v>128</v>
      </c>
      <c r="B113" s="8" t="s">
        <v>15</v>
      </c>
      <c r="C113" s="9">
        <v>15000</v>
      </c>
      <c r="D113" s="7">
        <v>0</v>
      </c>
      <c r="E113" s="10">
        <f t="shared" si="11"/>
        <v>0</v>
      </c>
      <c r="F113" s="18">
        <v>15</v>
      </c>
      <c r="G113" s="10">
        <f t="shared" si="7"/>
        <v>225000</v>
      </c>
      <c r="H113" s="8">
        <v>10</v>
      </c>
      <c r="I113" s="9">
        <f t="shared" si="12"/>
        <v>150000</v>
      </c>
      <c r="J113" s="12">
        <f t="shared" si="14"/>
        <v>5</v>
      </c>
      <c r="K113" s="9">
        <f t="shared" si="9"/>
        <v>75000</v>
      </c>
    </row>
    <row r="114" spans="1:11" s="1" customFormat="1" x14ac:dyDescent="0.2">
      <c r="A114" s="23" t="s">
        <v>129</v>
      </c>
      <c r="B114" s="24" t="s">
        <v>15</v>
      </c>
      <c r="C114" s="25">
        <v>10000</v>
      </c>
      <c r="D114" s="14">
        <v>1</v>
      </c>
      <c r="E114" s="26">
        <f t="shared" si="11"/>
        <v>10000</v>
      </c>
      <c r="F114" s="18">
        <v>0</v>
      </c>
      <c r="G114" s="10">
        <f t="shared" si="7"/>
        <v>0</v>
      </c>
      <c r="H114" s="18">
        <v>0</v>
      </c>
      <c r="I114" s="25">
        <f t="shared" si="12"/>
        <v>0</v>
      </c>
      <c r="J114" s="12">
        <f t="shared" si="14"/>
        <v>1</v>
      </c>
      <c r="K114" s="25">
        <f t="shared" si="9"/>
        <v>10000</v>
      </c>
    </row>
    <row r="115" spans="1:11" s="22" customFormat="1" x14ac:dyDescent="0.2">
      <c r="A115" s="23" t="s">
        <v>130</v>
      </c>
      <c r="B115" s="24" t="s">
        <v>17</v>
      </c>
      <c r="C115" s="25">
        <v>50000</v>
      </c>
      <c r="D115" s="21">
        <v>2</v>
      </c>
      <c r="E115" s="26">
        <f t="shared" si="11"/>
        <v>100000</v>
      </c>
      <c r="F115" s="18">
        <v>0</v>
      </c>
      <c r="G115" s="10">
        <f t="shared" si="7"/>
        <v>0</v>
      </c>
      <c r="H115" s="18">
        <v>0</v>
      </c>
      <c r="I115" s="25">
        <f t="shared" si="12"/>
        <v>0</v>
      </c>
      <c r="J115" s="12">
        <f t="shared" si="14"/>
        <v>2</v>
      </c>
      <c r="K115" s="25">
        <f t="shared" si="9"/>
        <v>100000</v>
      </c>
    </row>
    <row r="116" spans="1:11" s="1" customFormat="1" x14ac:dyDescent="0.2">
      <c r="A116" s="23" t="s">
        <v>131</v>
      </c>
      <c r="B116" s="24" t="s">
        <v>15</v>
      </c>
      <c r="C116" s="25">
        <v>3500</v>
      </c>
      <c r="D116" s="14">
        <v>3</v>
      </c>
      <c r="E116" s="26">
        <f t="shared" si="11"/>
        <v>10500</v>
      </c>
      <c r="F116" s="18">
        <v>0</v>
      </c>
      <c r="G116" s="10">
        <f t="shared" si="7"/>
        <v>0</v>
      </c>
      <c r="H116" s="18">
        <v>0</v>
      </c>
      <c r="I116" s="25">
        <f t="shared" si="12"/>
        <v>0</v>
      </c>
      <c r="J116" s="12">
        <f t="shared" si="14"/>
        <v>3</v>
      </c>
      <c r="K116" s="25">
        <f t="shared" si="9"/>
        <v>10500</v>
      </c>
    </row>
    <row r="117" spans="1:11" s="1" customFormat="1" x14ac:dyDescent="0.2">
      <c r="A117" s="29" t="s">
        <v>132</v>
      </c>
      <c r="B117" s="15" t="s">
        <v>62</v>
      </c>
      <c r="C117" s="16">
        <v>60000</v>
      </c>
      <c r="D117" s="14">
        <v>1</v>
      </c>
      <c r="E117" s="26">
        <f t="shared" si="11"/>
        <v>60000</v>
      </c>
      <c r="F117" s="18">
        <v>0</v>
      </c>
      <c r="G117" s="10">
        <f t="shared" si="7"/>
        <v>0</v>
      </c>
      <c r="H117" s="18">
        <v>0</v>
      </c>
      <c r="I117" s="16">
        <f t="shared" si="12"/>
        <v>0</v>
      </c>
      <c r="J117" s="12">
        <f t="shared" si="14"/>
        <v>1</v>
      </c>
      <c r="K117" s="16">
        <f t="shared" si="9"/>
        <v>60000</v>
      </c>
    </row>
    <row r="118" spans="1:11" s="1" customFormat="1" x14ac:dyDescent="0.2">
      <c r="A118" s="29" t="s">
        <v>133</v>
      </c>
      <c r="B118" s="15" t="s">
        <v>15</v>
      </c>
      <c r="C118" s="16">
        <v>1500</v>
      </c>
      <c r="D118" s="14">
        <v>2</v>
      </c>
      <c r="E118" s="26">
        <f t="shared" si="11"/>
        <v>3000</v>
      </c>
      <c r="F118" s="18">
        <v>0</v>
      </c>
      <c r="G118" s="10">
        <f t="shared" si="7"/>
        <v>0</v>
      </c>
      <c r="H118" s="18">
        <v>0</v>
      </c>
      <c r="I118" s="16">
        <f t="shared" si="12"/>
        <v>0</v>
      </c>
      <c r="J118" s="6">
        <f t="shared" ref="J118:J125" si="15">SUM(D118+F118)-H118</f>
        <v>2</v>
      </c>
      <c r="K118" s="16">
        <f t="shared" si="9"/>
        <v>3000</v>
      </c>
    </row>
    <row r="119" spans="1:11" s="1" customFormat="1" x14ac:dyDescent="0.2">
      <c r="A119" s="29" t="s">
        <v>134</v>
      </c>
      <c r="B119" s="15" t="s">
        <v>62</v>
      </c>
      <c r="C119" s="16">
        <v>155000</v>
      </c>
      <c r="D119" s="14">
        <v>0</v>
      </c>
      <c r="E119" s="26">
        <f t="shared" si="11"/>
        <v>0</v>
      </c>
      <c r="F119" s="18">
        <v>0</v>
      </c>
      <c r="G119" s="10">
        <f t="shared" si="7"/>
        <v>0</v>
      </c>
      <c r="H119" s="18">
        <v>0</v>
      </c>
      <c r="I119" s="16">
        <f t="shared" si="12"/>
        <v>0</v>
      </c>
      <c r="J119" s="6">
        <f t="shared" si="15"/>
        <v>0</v>
      </c>
      <c r="K119" s="16">
        <f t="shared" si="9"/>
        <v>0</v>
      </c>
    </row>
    <row r="120" spans="1:11" s="1" customFormat="1" x14ac:dyDescent="0.2">
      <c r="A120" s="29" t="s">
        <v>135</v>
      </c>
      <c r="B120" s="15" t="s">
        <v>62</v>
      </c>
      <c r="C120" s="16">
        <v>155000</v>
      </c>
      <c r="D120" s="14">
        <v>2</v>
      </c>
      <c r="E120" s="26">
        <f t="shared" si="11"/>
        <v>310000</v>
      </c>
      <c r="F120" s="18">
        <v>0</v>
      </c>
      <c r="G120" s="10">
        <f t="shared" si="7"/>
        <v>0</v>
      </c>
      <c r="H120" s="18">
        <v>0</v>
      </c>
      <c r="I120" s="16">
        <f t="shared" si="12"/>
        <v>0</v>
      </c>
      <c r="J120" s="6">
        <f t="shared" si="15"/>
        <v>2</v>
      </c>
      <c r="K120" s="16">
        <f t="shared" si="9"/>
        <v>310000</v>
      </c>
    </row>
    <row r="121" spans="1:11" s="13" customFormat="1" x14ac:dyDescent="0.2">
      <c r="A121" s="29" t="s">
        <v>136</v>
      </c>
      <c r="B121" s="8" t="s">
        <v>15</v>
      </c>
      <c r="C121" s="9">
        <v>20000</v>
      </c>
      <c r="D121" s="7">
        <v>5</v>
      </c>
      <c r="E121" s="10">
        <f t="shared" si="11"/>
        <v>100000</v>
      </c>
      <c r="F121" s="18">
        <v>0</v>
      </c>
      <c r="G121" s="10">
        <f t="shared" si="7"/>
        <v>0</v>
      </c>
      <c r="H121" s="18">
        <v>0</v>
      </c>
      <c r="I121" s="9">
        <f>H121*C121</f>
        <v>0</v>
      </c>
      <c r="J121" s="12">
        <f t="shared" si="15"/>
        <v>5</v>
      </c>
      <c r="K121" s="9">
        <f t="shared" si="9"/>
        <v>100000</v>
      </c>
    </row>
    <row r="122" spans="1:11" s="13" customFormat="1" x14ac:dyDescent="0.2">
      <c r="A122" s="29" t="s">
        <v>137</v>
      </c>
      <c r="B122" s="8" t="s">
        <v>25</v>
      </c>
      <c r="C122" s="9">
        <v>110000</v>
      </c>
      <c r="D122" s="7">
        <v>0</v>
      </c>
      <c r="E122" s="10">
        <f t="shared" si="11"/>
        <v>0</v>
      </c>
      <c r="F122" s="18">
        <v>0</v>
      </c>
      <c r="G122" s="10">
        <f t="shared" si="7"/>
        <v>0</v>
      </c>
      <c r="H122" s="18">
        <v>0</v>
      </c>
      <c r="I122" s="9">
        <f t="shared" si="12"/>
        <v>0</v>
      </c>
      <c r="J122" s="12">
        <f t="shared" si="15"/>
        <v>0</v>
      </c>
      <c r="K122" s="9">
        <f t="shared" si="9"/>
        <v>0</v>
      </c>
    </row>
    <row r="123" spans="1:11" s="13" customFormat="1" x14ac:dyDescent="0.2">
      <c r="A123" s="29" t="s">
        <v>138</v>
      </c>
      <c r="B123" s="8" t="s">
        <v>139</v>
      </c>
      <c r="C123" s="9">
        <v>65000</v>
      </c>
      <c r="D123" s="7">
        <v>22</v>
      </c>
      <c r="E123" s="10">
        <f t="shared" si="11"/>
        <v>1430000</v>
      </c>
      <c r="F123" s="18">
        <v>100</v>
      </c>
      <c r="G123" s="10">
        <f t="shared" si="7"/>
        <v>6500000</v>
      </c>
      <c r="H123" s="8">
        <v>22</v>
      </c>
      <c r="I123" s="9">
        <f t="shared" si="12"/>
        <v>1430000</v>
      </c>
      <c r="J123" s="12">
        <f t="shared" si="15"/>
        <v>100</v>
      </c>
      <c r="K123" s="9">
        <f t="shared" si="9"/>
        <v>6500000</v>
      </c>
    </row>
    <row r="124" spans="1:11" s="13" customFormat="1" x14ac:dyDescent="0.2">
      <c r="A124" s="29" t="s">
        <v>140</v>
      </c>
      <c r="B124" s="8" t="s">
        <v>15</v>
      </c>
      <c r="C124" s="9">
        <v>1000</v>
      </c>
      <c r="D124" s="7">
        <v>100</v>
      </c>
      <c r="E124" s="10">
        <f t="shared" si="11"/>
        <v>100000</v>
      </c>
      <c r="F124" s="18">
        <v>0</v>
      </c>
      <c r="G124" s="10">
        <f t="shared" si="7"/>
        <v>0</v>
      </c>
      <c r="H124" s="18">
        <v>0</v>
      </c>
      <c r="I124" s="9">
        <f t="shared" si="12"/>
        <v>0</v>
      </c>
      <c r="J124" s="12">
        <f t="shared" si="15"/>
        <v>100</v>
      </c>
      <c r="K124" s="9">
        <f t="shared" si="9"/>
        <v>100000</v>
      </c>
    </row>
    <row r="125" spans="1:11" s="13" customFormat="1" x14ac:dyDescent="0.2">
      <c r="A125" s="29" t="s">
        <v>141</v>
      </c>
      <c r="B125" s="8" t="s">
        <v>139</v>
      </c>
      <c r="C125" s="9">
        <v>70000</v>
      </c>
      <c r="D125" s="7">
        <v>4</v>
      </c>
      <c r="E125" s="10">
        <f t="shared" si="11"/>
        <v>280000</v>
      </c>
      <c r="F125" s="18">
        <v>100</v>
      </c>
      <c r="G125" s="10">
        <f t="shared" si="7"/>
        <v>7000000</v>
      </c>
      <c r="H125" s="18">
        <v>12</v>
      </c>
      <c r="I125" s="9">
        <f t="shared" si="12"/>
        <v>840000</v>
      </c>
      <c r="J125" s="12">
        <f t="shared" si="15"/>
        <v>92</v>
      </c>
      <c r="K125" s="9">
        <f t="shared" si="9"/>
        <v>6440000</v>
      </c>
    </row>
    <row r="126" spans="1:11" s="1" customFormat="1" x14ac:dyDescent="0.2">
      <c r="A126" s="103" t="s">
        <v>142</v>
      </c>
      <c r="B126" s="104"/>
      <c r="C126" s="104"/>
      <c r="D126" s="104"/>
      <c r="E126" s="104"/>
      <c r="F126" s="104"/>
      <c r="G126" s="104"/>
      <c r="H126" s="104"/>
      <c r="I126" s="104"/>
      <c r="J126" s="104"/>
      <c r="K126" s="105"/>
    </row>
    <row r="127" spans="1:11" s="13" customFormat="1" x14ac:dyDescent="0.2">
      <c r="A127" s="29" t="s">
        <v>143</v>
      </c>
      <c r="B127" s="8" t="s">
        <v>144</v>
      </c>
      <c r="C127" s="32">
        <v>4425</v>
      </c>
      <c r="D127" s="7">
        <v>0</v>
      </c>
      <c r="E127" s="33">
        <f>D127*C127</f>
        <v>0</v>
      </c>
      <c r="F127" s="11">
        <v>500</v>
      </c>
      <c r="G127" s="9">
        <f t="shared" ref="G127:G175" si="16">F127*C127</f>
        <v>2212500</v>
      </c>
      <c r="H127" s="8">
        <v>500</v>
      </c>
      <c r="I127" s="9">
        <f>H127*C127</f>
        <v>2212500</v>
      </c>
      <c r="J127" s="12">
        <f t="shared" ref="J127:J174" si="17">SUM(D127+F127)-H127</f>
        <v>0</v>
      </c>
      <c r="K127" s="9">
        <f t="shared" ref="K127:K175" si="18">J127*C127</f>
        <v>0</v>
      </c>
    </row>
    <row r="128" spans="1:11" s="42" customFormat="1" x14ac:dyDescent="0.2">
      <c r="A128" s="34" t="s">
        <v>145</v>
      </c>
      <c r="B128" s="35" t="s">
        <v>144</v>
      </c>
      <c r="C128" s="36">
        <v>2200</v>
      </c>
      <c r="D128" s="37">
        <v>0</v>
      </c>
      <c r="E128" s="38">
        <f t="shared" ref="E128:E191" si="19">D128*C128</f>
        <v>0</v>
      </c>
      <c r="F128" s="39">
        <v>500</v>
      </c>
      <c r="G128" s="40">
        <f t="shared" si="16"/>
        <v>1100000</v>
      </c>
      <c r="H128" s="35">
        <v>500</v>
      </c>
      <c r="I128" s="40">
        <f t="shared" ref="I128:I137" si="20">H128*C128</f>
        <v>1100000</v>
      </c>
      <c r="J128" s="41">
        <f t="shared" si="17"/>
        <v>0</v>
      </c>
      <c r="K128" s="40">
        <f t="shared" si="18"/>
        <v>0</v>
      </c>
    </row>
    <row r="129" spans="1:11" s="1" customFormat="1" x14ac:dyDescent="0.2">
      <c r="A129" s="27" t="s">
        <v>146</v>
      </c>
      <c r="B129" s="15" t="s">
        <v>15</v>
      </c>
      <c r="C129" s="43">
        <v>4300</v>
      </c>
      <c r="D129" s="14">
        <v>0</v>
      </c>
      <c r="E129" s="44">
        <f t="shared" si="19"/>
        <v>0</v>
      </c>
      <c r="F129" s="8">
        <v>0</v>
      </c>
      <c r="G129" s="16">
        <f t="shared" si="16"/>
        <v>0</v>
      </c>
      <c r="H129" s="8">
        <v>0</v>
      </c>
      <c r="I129" s="16">
        <f t="shared" si="20"/>
        <v>0</v>
      </c>
      <c r="J129" s="6">
        <f t="shared" si="17"/>
        <v>0</v>
      </c>
      <c r="K129" s="16">
        <f t="shared" si="18"/>
        <v>0</v>
      </c>
    </row>
    <row r="130" spans="1:11" s="13" customFormat="1" x14ac:dyDescent="0.2">
      <c r="A130" s="29" t="s">
        <v>147</v>
      </c>
      <c r="B130" s="8" t="s">
        <v>144</v>
      </c>
      <c r="C130" s="32">
        <v>8500</v>
      </c>
      <c r="D130" s="7">
        <v>60</v>
      </c>
      <c r="E130" s="33">
        <f t="shared" si="19"/>
        <v>510000</v>
      </c>
      <c r="F130" s="11">
        <v>90</v>
      </c>
      <c r="G130" s="9">
        <f t="shared" si="16"/>
        <v>765000</v>
      </c>
      <c r="H130" s="8">
        <v>90</v>
      </c>
      <c r="I130" s="9">
        <f t="shared" si="20"/>
        <v>765000</v>
      </c>
      <c r="J130" s="12">
        <f t="shared" si="17"/>
        <v>60</v>
      </c>
      <c r="K130" s="9">
        <f t="shared" si="18"/>
        <v>510000</v>
      </c>
    </row>
    <row r="131" spans="1:11" s="13" customFormat="1" ht="25.5" x14ac:dyDescent="0.2">
      <c r="A131" s="45" t="s">
        <v>148</v>
      </c>
      <c r="B131" s="8" t="s">
        <v>144</v>
      </c>
      <c r="C131" s="32">
        <v>10500</v>
      </c>
      <c r="D131" s="7">
        <v>0</v>
      </c>
      <c r="E131" s="33">
        <f t="shared" si="19"/>
        <v>0</v>
      </c>
      <c r="F131" s="11">
        <v>0</v>
      </c>
      <c r="G131" s="9">
        <f t="shared" si="16"/>
        <v>0</v>
      </c>
      <c r="H131" s="8">
        <v>0</v>
      </c>
      <c r="I131" s="9">
        <f t="shared" si="20"/>
        <v>0</v>
      </c>
      <c r="J131" s="12">
        <f t="shared" si="17"/>
        <v>0</v>
      </c>
      <c r="K131" s="9">
        <f t="shared" si="18"/>
        <v>0</v>
      </c>
    </row>
    <row r="132" spans="1:11" s="13" customFormat="1" ht="14.25" customHeight="1" x14ac:dyDescent="0.2">
      <c r="A132" s="46" t="s">
        <v>149</v>
      </c>
      <c r="B132" s="47" t="s">
        <v>144</v>
      </c>
      <c r="C132" s="48">
        <v>10500</v>
      </c>
      <c r="D132" s="7">
        <v>65</v>
      </c>
      <c r="E132" s="49">
        <f t="shared" si="19"/>
        <v>682500</v>
      </c>
      <c r="F132" s="50">
        <v>0</v>
      </c>
      <c r="G132" s="51">
        <f t="shared" si="16"/>
        <v>0</v>
      </c>
      <c r="H132" s="47">
        <v>29</v>
      </c>
      <c r="I132" s="51">
        <f t="shared" si="20"/>
        <v>304500</v>
      </c>
      <c r="J132" s="52">
        <f t="shared" si="17"/>
        <v>36</v>
      </c>
      <c r="K132" s="51">
        <f t="shared" si="18"/>
        <v>378000</v>
      </c>
    </row>
    <row r="133" spans="1:11" s="13" customFormat="1" x14ac:dyDescent="0.2">
      <c r="A133" s="19" t="s">
        <v>150</v>
      </c>
      <c r="B133" s="8" t="s">
        <v>144</v>
      </c>
      <c r="C133" s="32">
        <v>20000</v>
      </c>
      <c r="D133" s="7">
        <v>0</v>
      </c>
      <c r="E133" s="33">
        <f t="shared" si="19"/>
        <v>0</v>
      </c>
      <c r="F133" s="11">
        <v>20</v>
      </c>
      <c r="G133" s="51">
        <f t="shared" si="16"/>
        <v>400000</v>
      </c>
      <c r="H133" s="8">
        <v>18</v>
      </c>
      <c r="I133" s="9">
        <f t="shared" si="20"/>
        <v>360000</v>
      </c>
      <c r="J133" s="12">
        <f t="shared" si="17"/>
        <v>2</v>
      </c>
      <c r="K133" s="9">
        <f t="shared" si="18"/>
        <v>40000</v>
      </c>
    </row>
    <row r="134" spans="1:11" s="13" customFormat="1" x14ac:dyDescent="0.2">
      <c r="A134" s="19" t="s">
        <v>151</v>
      </c>
      <c r="B134" s="8" t="s">
        <v>144</v>
      </c>
      <c r="C134" s="32">
        <v>20000</v>
      </c>
      <c r="D134" s="7">
        <v>6</v>
      </c>
      <c r="E134" s="33">
        <f t="shared" si="19"/>
        <v>120000</v>
      </c>
      <c r="F134" s="11">
        <v>10</v>
      </c>
      <c r="G134" s="51">
        <f t="shared" si="16"/>
        <v>200000</v>
      </c>
      <c r="H134" s="8">
        <v>4</v>
      </c>
      <c r="I134" s="9">
        <f t="shared" si="20"/>
        <v>80000</v>
      </c>
      <c r="J134" s="12">
        <f t="shared" si="17"/>
        <v>12</v>
      </c>
      <c r="K134" s="9">
        <f t="shared" si="18"/>
        <v>240000</v>
      </c>
    </row>
    <row r="135" spans="1:11" s="1" customFormat="1" x14ac:dyDescent="0.2">
      <c r="A135" s="19" t="s">
        <v>152</v>
      </c>
      <c r="B135" s="15" t="s">
        <v>144</v>
      </c>
      <c r="C135" s="43">
        <v>10500</v>
      </c>
      <c r="D135" s="14">
        <v>11</v>
      </c>
      <c r="E135" s="44">
        <f t="shared" si="19"/>
        <v>115500</v>
      </c>
      <c r="F135" s="18">
        <v>0</v>
      </c>
      <c r="G135" s="51">
        <f t="shared" si="16"/>
        <v>0</v>
      </c>
      <c r="H135" s="15">
        <v>6</v>
      </c>
      <c r="I135" s="16">
        <f t="shared" si="20"/>
        <v>63000</v>
      </c>
      <c r="J135" s="6">
        <f t="shared" si="17"/>
        <v>5</v>
      </c>
      <c r="K135" s="16">
        <f t="shared" si="18"/>
        <v>52500</v>
      </c>
    </row>
    <row r="136" spans="1:11" s="56" customFormat="1" ht="25.5" x14ac:dyDescent="0.2">
      <c r="A136" s="53" t="s">
        <v>153</v>
      </c>
      <c r="B136" s="18" t="s">
        <v>144</v>
      </c>
      <c r="C136" s="54">
        <v>20000</v>
      </c>
      <c r="D136" s="20">
        <v>20</v>
      </c>
      <c r="E136" s="55">
        <f t="shared" si="19"/>
        <v>400000</v>
      </c>
      <c r="F136" s="18">
        <v>120</v>
      </c>
      <c r="G136" s="51">
        <f t="shared" si="16"/>
        <v>2400000</v>
      </c>
      <c r="H136" s="8">
        <v>136</v>
      </c>
      <c r="I136" s="55">
        <f t="shared" si="20"/>
        <v>2720000</v>
      </c>
      <c r="J136" s="5">
        <f t="shared" si="17"/>
        <v>4</v>
      </c>
      <c r="K136" s="55">
        <f t="shared" si="18"/>
        <v>80000</v>
      </c>
    </row>
    <row r="137" spans="1:11" s="1" customFormat="1" x14ac:dyDescent="0.2">
      <c r="A137" s="45" t="s">
        <v>154</v>
      </c>
      <c r="B137" s="15" t="s">
        <v>144</v>
      </c>
      <c r="C137" s="43">
        <v>10500</v>
      </c>
      <c r="D137" s="14">
        <v>8</v>
      </c>
      <c r="E137" s="44">
        <f t="shared" si="19"/>
        <v>84000</v>
      </c>
      <c r="F137" s="18">
        <v>0</v>
      </c>
      <c r="G137" s="51">
        <f t="shared" si="16"/>
        <v>0</v>
      </c>
      <c r="H137" s="8">
        <v>0</v>
      </c>
      <c r="I137" s="16">
        <f t="shared" si="20"/>
        <v>0</v>
      </c>
      <c r="J137" s="6">
        <f t="shared" si="17"/>
        <v>8</v>
      </c>
      <c r="K137" s="16">
        <f t="shared" si="18"/>
        <v>84000</v>
      </c>
    </row>
    <row r="138" spans="1:11" s="1" customFormat="1" x14ac:dyDescent="0.2">
      <c r="A138" s="27" t="s">
        <v>155</v>
      </c>
      <c r="B138" s="15" t="s">
        <v>144</v>
      </c>
      <c r="C138" s="43">
        <v>10500</v>
      </c>
      <c r="D138" s="14">
        <v>9</v>
      </c>
      <c r="E138" s="44">
        <f t="shared" si="19"/>
        <v>94500</v>
      </c>
      <c r="F138" s="18">
        <v>0</v>
      </c>
      <c r="G138" s="51">
        <f t="shared" si="16"/>
        <v>0</v>
      </c>
      <c r="H138" s="8">
        <v>0</v>
      </c>
      <c r="I138" s="16">
        <v>0</v>
      </c>
      <c r="J138" s="6">
        <f t="shared" si="17"/>
        <v>9</v>
      </c>
      <c r="K138" s="16">
        <f t="shared" si="18"/>
        <v>94500</v>
      </c>
    </row>
    <row r="139" spans="1:11" s="1" customFormat="1" x14ac:dyDescent="0.2">
      <c r="A139" s="27" t="s">
        <v>156</v>
      </c>
      <c r="B139" s="15" t="s">
        <v>144</v>
      </c>
      <c r="C139" s="43">
        <v>10500</v>
      </c>
      <c r="D139" s="14">
        <v>16</v>
      </c>
      <c r="E139" s="44">
        <f t="shared" si="19"/>
        <v>168000</v>
      </c>
      <c r="F139" s="18">
        <v>0</v>
      </c>
      <c r="G139" s="51">
        <f t="shared" si="16"/>
        <v>0</v>
      </c>
      <c r="H139" s="8">
        <v>0</v>
      </c>
      <c r="I139" s="16">
        <f t="shared" ref="I139:I149" si="21">H139*C139</f>
        <v>0</v>
      </c>
      <c r="J139" s="6">
        <f t="shared" si="17"/>
        <v>16</v>
      </c>
      <c r="K139" s="16">
        <f t="shared" si="18"/>
        <v>168000</v>
      </c>
    </row>
    <row r="140" spans="1:11" s="1" customFormat="1" x14ac:dyDescent="0.2">
      <c r="A140" s="27" t="s">
        <v>157</v>
      </c>
      <c r="B140" s="15" t="s">
        <v>144</v>
      </c>
      <c r="C140" s="43">
        <v>10500</v>
      </c>
      <c r="D140" s="14">
        <v>1</v>
      </c>
      <c r="E140" s="44">
        <f t="shared" si="19"/>
        <v>10500</v>
      </c>
      <c r="F140" s="18">
        <v>0</v>
      </c>
      <c r="G140" s="51">
        <f>F140*C140</f>
        <v>0</v>
      </c>
      <c r="H140" s="8">
        <v>0</v>
      </c>
      <c r="I140" s="16">
        <f t="shared" si="21"/>
        <v>0</v>
      </c>
      <c r="J140" s="6">
        <f t="shared" si="17"/>
        <v>1</v>
      </c>
      <c r="K140" s="16">
        <f t="shared" si="18"/>
        <v>10500</v>
      </c>
    </row>
    <row r="141" spans="1:11" s="1" customFormat="1" x14ac:dyDescent="0.2">
      <c r="A141" s="27" t="s">
        <v>158</v>
      </c>
      <c r="B141" s="15" t="s">
        <v>144</v>
      </c>
      <c r="C141" s="43">
        <v>10500</v>
      </c>
      <c r="D141" s="14">
        <v>4</v>
      </c>
      <c r="E141" s="44">
        <f t="shared" si="19"/>
        <v>42000</v>
      </c>
      <c r="F141" s="18">
        <v>0</v>
      </c>
      <c r="G141" s="51">
        <f t="shared" si="16"/>
        <v>0</v>
      </c>
      <c r="H141" s="8">
        <v>0</v>
      </c>
      <c r="I141" s="16">
        <f t="shared" si="21"/>
        <v>0</v>
      </c>
      <c r="J141" s="6">
        <f t="shared" si="17"/>
        <v>4</v>
      </c>
      <c r="K141" s="16">
        <f t="shared" si="18"/>
        <v>42000</v>
      </c>
    </row>
    <row r="142" spans="1:11" s="1" customFormat="1" x14ac:dyDescent="0.2">
      <c r="A142" s="27" t="s">
        <v>159</v>
      </c>
      <c r="B142" s="15" t="s">
        <v>144</v>
      </c>
      <c r="C142" s="43">
        <v>15000</v>
      </c>
      <c r="D142" s="14">
        <v>23</v>
      </c>
      <c r="E142" s="44">
        <f t="shared" si="19"/>
        <v>345000</v>
      </c>
      <c r="F142" s="18">
        <v>0</v>
      </c>
      <c r="G142" s="51">
        <f t="shared" si="16"/>
        <v>0</v>
      </c>
      <c r="H142" s="18">
        <v>10</v>
      </c>
      <c r="I142" s="16">
        <f t="shared" si="21"/>
        <v>150000</v>
      </c>
      <c r="J142" s="6">
        <f t="shared" si="17"/>
        <v>13</v>
      </c>
      <c r="K142" s="16">
        <f t="shared" si="18"/>
        <v>195000</v>
      </c>
    </row>
    <row r="143" spans="1:11" s="1" customFormat="1" x14ac:dyDescent="0.2">
      <c r="A143" s="31" t="s">
        <v>160</v>
      </c>
      <c r="B143" s="15" t="s">
        <v>144</v>
      </c>
      <c r="C143" s="32">
        <v>20000</v>
      </c>
      <c r="D143" s="14">
        <v>16</v>
      </c>
      <c r="E143" s="30">
        <f t="shared" si="19"/>
        <v>320000</v>
      </c>
      <c r="F143" s="18">
        <v>0</v>
      </c>
      <c r="G143" s="51">
        <f t="shared" si="16"/>
        <v>0</v>
      </c>
      <c r="H143" s="8">
        <v>0</v>
      </c>
      <c r="I143" s="9">
        <f t="shared" si="21"/>
        <v>0</v>
      </c>
      <c r="J143" s="12">
        <f t="shared" si="17"/>
        <v>16</v>
      </c>
      <c r="K143" s="9">
        <f t="shared" si="18"/>
        <v>320000</v>
      </c>
    </row>
    <row r="144" spans="1:11" s="1" customFormat="1" ht="25.5" x14ac:dyDescent="0.2">
      <c r="A144" s="57" t="s">
        <v>161</v>
      </c>
      <c r="B144" s="18" t="s">
        <v>144</v>
      </c>
      <c r="C144" s="54">
        <v>10500</v>
      </c>
      <c r="D144" s="14">
        <v>6</v>
      </c>
      <c r="E144" s="55">
        <f t="shared" si="19"/>
        <v>63000</v>
      </c>
      <c r="F144" s="18">
        <v>0</v>
      </c>
      <c r="G144" s="51">
        <v>0</v>
      </c>
      <c r="H144" s="8">
        <v>0</v>
      </c>
      <c r="I144" s="55">
        <f t="shared" si="21"/>
        <v>0</v>
      </c>
      <c r="J144" s="5">
        <f t="shared" si="17"/>
        <v>6</v>
      </c>
      <c r="K144" s="55">
        <f t="shared" si="18"/>
        <v>63000</v>
      </c>
    </row>
    <row r="145" spans="1:11" s="1" customFormat="1" x14ac:dyDescent="0.2">
      <c r="A145" s="58" t="s">
        <v>162</v>
      </c>
      <c r="B145" s="15" t="s">
        <v>144</v>
      </c>
      <c r="C145" s="43">
        <v>10500</v>
      </c>
      <c r="D145" s="14">
        <v>6</v>
      </c>
      <c r="E145" s="44">
        <f t="shared" si="19"/>
        <v>63000</v>
      </c>
      <c r="F145" s="18">
        <v>0</v>
      </c>
      <c r="G145" s="51">
        <f t="shared" si="16"/>
        <v>0</v>
      </c>
      <c r="H145" s="8">
        <v>0</v>
      </c>
      <c r="I145" s="16">
        <f t="shared" si="21"/>
        <v>0</v>
      </c>
      <c r="J145" s="6">
        <f t="shared" si="17"/>
        <v>6</v>
      </c>
      <c r="K145" s="16">
        <f t="shared" si="18"/>
        <v>63000</v>
      </c>
    </row>
    <row r="146" spans="1:11" s="1" customFormat="1" x14ac:dyDescent="0.2">
      <c r="A146" s="27" t="s">
        <v>163</v>
      </c>
      <c r="B146" s="15" t="s">
        <v>144</v>
      </c>
      <c r="C146" s="43">
        <v>10500</v>
      </c>
      <c r="D146" s="14">
        <v>6</v>
      </c>
      <c r="E146" s="44">
        <f t="shared" si="19"/>
        <v>63000</v>
      </c>
      <c r="F146" s="18">
        <v>0</v>
      </c>
      <c r="G146" s="51">
        <f t="shared" si="16"/>
        <v>0</v>
      </c>
      <c r="H146" s="8">
        <v>0</v>
      </c>
      <c r="I146" s="16">
        <f t="shared" si="21"/>
        <v>0</v>
      </c>
      <c r="J146" s="6">
        <f t="shared" si="17"/>
        <v>6</v>
      </c>
      <c r="K146" s="16">
        <f t="shared" si="18"/>
        <v>63000</v>
      </c>
    </row>
    <row r="147" spans="1:11" s="13" customFormat="1" x14ac:dyDescent="0.2">
      <c r="A147" s="29" t="s">
        <v>164</v>
      </c>
      <c r="B147" s="8" t="s">
        <v>144</v>
      </c>
      <c r="C147" s="32">
        <v>10500</v>
      </c>
      <c r="D147" s="7">
        <v>28</v>
      </c>
      <c r="E147" s="33">
        <f t="shared" si="19"/>
        <v>294000</v>
      </c>
      <c r="F147" s="18">
        <v>0</v>
      </c>
      <c r="G147" s="51">
        <f t="shared" si="16"/>
        <v>0</v>
      </c>
      <c r="H147" s="8">
        <v>2</v>
      </c>
      <c r="I147" s="16">
        <f t="shared" si="21"/>
        <v>21000</v>
      </c>
      <c r="J147" s="12">
        <f t="shared" si="17"/>
        <v>26</v>
      </c>
      <c r="K147" s="9">
        <f t="shared" si="18"/>
        <v>273000</v>
      </c>
    </row>
    <row r="148" spans="1:11" s="1" customFormat="1" x14ac:dyDescent="0.2">
      <c r="A148" s="27" t="s">
        <v>165</v>
      </c>
      <c r="B148" s="15" t="s">
        <v>144</v>
      </c>
      <c r="C148" s="43">
        <v>19000</v>
      </c>
      <c r="D148" s="14">
        <v>0</v>
      </c>
      <c r="E148" s="44">
        <f t="shared" si="19"/>
        <v>0</v>
      </c>
      <c r="F148" s="18">
        <v>0</v>
      </c>
      <c r="G148" s="51">
        <f t="shared" si="16"/>
        <v>0</v>
      </c>
      <c r="H148" s="8">
        <v>0</v>
      </c>
      <c r="I148" s="16">
        <f t="shared" si="21"/>
        <v>0</v>
      </c>
      <c r="J148" s="6">
        <f t="shared" si="17"/>
        <v>0</v>
      </c>
      <c r="K148" s="16">
        <f t="shared" si="18"/>
        <v>0</v>
      </c>
    </row>
    <row r="149" spans="1:11" s="1" customFormat="1" x14ac:dyDescent="0.2">
      <c r="A149" s="27" t="s">
        <v>166</v>
      </c>
      <c r="B149" s="15" t="s">
        <v>144</v>
      </c>
      <c r="C149" s="43">
        <v>19000</v>
      </c>
      <c r="D149" s="14">
        <v>15</v>
      </c>
      <c r="E149" s="44">
        <f t="shared" si="19"/>
        <v>285000</v>
      </c>
      <c r="F149" s="18">
        <v>0</v>
      </c>
      <c r="G149" s="51">
        <f t="shared" si="16"/>
        <v>0</v>
      </c>
      <c r="H149" s="8">
        <v>0</v>
      </c>
      <c r="I149" s="16">
        <f t="shared" si="21"/>
        <v>0</v>
      </c>
      <c r="J149" s="6">
        <f t="shared" si="17"/>
        <v>15</v>
      </c>
      <c r="K149" s="16">
        <f t="shared" si="18"/>
        <v>285000</v>
      </c>
    </row>
    <row r="150" spans="1:11" s="1" customFormat="1" x14ac:dyDescent="0.2">
      <c r="A150" s="27" t="s">
        <v>167</v>
      </c>
      <c r="B150" s="15" t="s">
        <v>144</v>
      </c>
      <c r="C150" s="43">
        <v>19000</v>
      </c>
      <c r="D150" s="14">
        <v>3</v>
      </c>
      <c r="E150" s="44">
        <f t="shared" si="19"/>
        <v>57000</v>
      </c>
      <c r="F150" s="18">
        <v>0</v>
      </c>
      <c r="G150" s="51">
        <f t="shared" si="16"/>
        <v>0</v>
      </c>
      <c r="H150" s="8">
        <v>0</v>
      </c>
      <c r="I150" s="16">
        <v>0</v>
      </c>
      <c r="J150" s="6">
        <f t="shared" si="17"/>
        <v>3</v>
      </c>
      <c r="K150" s="16">
        <f t="shared" si="18"/>
        <v>57000</v>
      </c>
    </row>
    <row r="151" spans="1:11" s="1" customFormat="1" x14ac:dyDescent="0.2">
      <c r="A151" s="27" t="s">
        <v>168</v>
      </c>
      <c r="B151" s="15" t="s">
        <v>144</v>
      </c>
      <c r="C151" s="43">
        <v>19000</v>
      </c>
      <c r="D151" s="14">
        <v>2</v>
      </c>
      <c r="E151" s="44">
        <f t="shared" si="19"/>
        <v>38000</v>
      </c>
      <c r="F151" s="18">
        <v>0</v>
      </c>
      <c r="G151" s="51">
        <f t="shared" si="16"/>
        <v>0</v>
      </c>
      <c r="H151" s="8">
        <v>0</v>
      </c>
      <c r="I151" s="16">
        <f t="shared" ref="I151:I175" si="22">H151*C151</f>
        <v>0</v>
      </c>
      <c r="J151" s="6">
        <f t="shared" si="17"/>
        <v>2</v>
      </c>
      <c r="K151" s="16">
        <f t="shared" si="18"/>
        <v>38000</v>
      </c>
    </row>
    <row r="152" spans="1:11" s="13" customFormat="1" x14ac:dyDescent="0.2">
      <c r="A152" s="29" t="s">
        <v>169</v>
      </c>
      <c r="B152" s="8" t="s">
        <v>144</v>
      </c>
      <c r="C152" s="32">
        <v>10500</v>
      </c>
      <c r="D152" s="7">
        <v>5</v>
      </c>
      <c r="E152" s="33">
        <f t="shared" si="19"/>
        <v>52500</v>
      </c>
      <c r="F152" s="18">
        <v>0</v>
      </c>
      <c r="G152" s="51">
        <f t="shared" si="16"/>
        <v>0</v>
      </c>
      <c r="H152" s="8">
        <v>5</v>
      </c>
      <c r="I152" s="9">
        <f t="shared" si="22"/>
        <v>52500</v>
      </c>
      <c r="J152" s="12">
        <f t="shared" si="17"/>
        <v>0</v>
      </c>
      <c r="K152" s="9">
        <f t="shared" si="18"/>
        <v>0</v>
      </c>
    </row>
    <row r="153" spans="1:11" s="13" customFormat="1" x14ac:dyDescent="0.2">
      <c r="A153" s="29" t="s">
        <v>170</v>
      </c>
      <c r="B153" s="8" t="s">
        <v>144</v>
      </c>
      <c r="C153" s="32">
        <v>5250</v>
      </c>
      <c r="D153" s="7">
        <v>18</v>
      </c>
      <c r="E153" s="33">
        <f t="shared" si="19"/>
        <v>94500</v>
      </c>
      <c r="F153" s="18">
        <v>0</v>
      </c>
      <c r="G153" s="51">
        <f t="shared" si="16"/>
        <v>0</v>
      </c>
      <c r="H153" s="8">
        <v>0</v>
      </c>
      <c r="I153" s="9">
        <f t="shared" si="22"/>
        <v>0</v>
      </c>
      <c r="J153" s="12">
        <f t="shared" si="17"/>
        <v>18</v>
      </c>
      <c r="K153" s="9">
        <f t="shared" si="18"/>
        <v>94500</v>
      </c>
    </row>
    <row r="154" spans="1:11" s="1" customFormat="1" x14ac:dyDescent="0.2">
      <c r="A154" s="29" t="s">
        <v>171</v>
      </c>
      <c r="B154" s="8" t="s">
        <v>144</v>
      </c>
      <c r="C154" s="32">
        <v>5250</v>
      </c>
      <c r="D154" s="14">
        <v>14</v>
      </c>
      <c r="E154" s="33">
        <f t="shared" si="19"/>
        <v>73500</v>
      </c>
      <c r="F154" s="18">
        <v>0</v>
      </c>
      <c r="G154" s="51">
        <f t="shared" si="16"/>
        <v>0</v>
      </c>
      <c r="H154" s="18">
        <v>1</v>
      </c>
      <c r="I154" s="9">
        <f t="shared" si="22"/>
        <v>5250</v>
      </c>
      <c r="J154" s="12">
        <f t="shared" si="17"/>
        <v>13</v>
      </c>
      <c r="K154" s="9">
        <f t="shared" si="18"/>
        <v>68250</v>
      </c>
    </row>
    <row r="155" spans="1:11" s="13" customFormat="1" x14ac:dyDescent="0.2">
      <c r="A155" s="29" t="s">
        <v>172</v>
      </c>
      <c r="B155" s="8" t="s">
        <v>144</v>
      </c>
      <c r="C155" s="32">
        <v>2000</v>
      </c>
      <c r="D155" s="7">
        <v>21</v>
      </c>
      <c r="E155" s="33">
        <f t="shared" si="19"/>
        <v>42000</v>
      </c>
      <c r="F155" s="18">
        <v>0</v>
      </c>
      <c r="G155" s="51">
        <f t="shared" si="16"/>
        <v>0</v>
      </c>
      <c r="H155" s="8">
        <v>0</v>
      </c>
      <c r="I155" s="9">
        <f t="shared" si="22"/>
        <v>0</v>
      </c>
      <c r="J155" s="12">
        <f t="shared" si="17"/>
        <v>21</v>
      </c>
      <c r="K155" s="9">
        <f t="shared" si="18"/>
        <v>42000</v>
      </c>
    </row>
    <row r="156" spans="1:11" s="1" customFormat="1" x14ac:dyDescent="0.2">
      <c r="A156" s="19" t="s">
        <v>173</v>
      </c>
      <c r="B156" s="15" t="s">
        <v>12</v>
      </c>
      <c r="C156" s="43">
        <v>85000</v>
      </c>
      <c r="D156" s="14">
        <v>0</v>
      </c>
      <c r="E156" s="17">
        <f>D156*C156</f>
        <v>0</v>
      </c>
      <c r="F156" s="18">
        <v>0</v>
      </c>
      <c r="G156" s="51">
        <f t="shared" si="16"/>
        <v>0</v>
      </c>
      <c r="H156" s="11">
        <v>0</v>
      </c>
      <c r="I156" s="16">
        <f t="shared" si="22"/>
        <v>0</v>
      </c>
      <c r="J156" s="6">
        <f t="shared" si="17"/>
        <v>0</v>
      </c>
      <c r="K156" s="16">
        <f t="shared" si="18"/>
        <v>0</v>
      </c>
    </row>
    <row r="157" spans="1:11" s="1" customFormat="1" x14ac:dyDescent="0.2">
      <c r="A157" s="27" t="s">
        <v>174</v>
      </c>
      <c r="B157" s="15" t="s">
        <v>144</v>
      </c>
      <c r="C157" s="43">
        <v>2375</v>
      </c>
      <c r="D157" s="14">
        <v>10</v>
      </c>
      <c r="E157" s="44">
        <f>D157*C157</f>
        <v>23750</v>
      </c>
      <c r="F157" s="18">
        <v>0</v>
      </c>
      <c r="G157" s="51">
        <f t="shared" si="16"/>
        <v>0</v>
      </c>
      <c r="H157" s="11">
        <v>0</v>
      </c>
      <c r="I157" s="16">
        <f t="shared" si="22"/>
        <v>0</v>
      </c>
      <c r="J157" s="6">
        <f t="shared" si="17"/>
        <v>10</v>
      </c>
      <c r="K157" s="16">
        <f t="shared" si="18"/>
        <v>23750</v>
      </c>
    </row>
    <row r="158" spans="1:11" s="1" customFormat="1" x14ac:dyDescent="0.2">
      <c r="A158" s="27" t="s">
        <v>175</v>
      </c>
      <c r="B158" s="15" t="s">
        <v>144</v>
      </c>
      <c r="C158" s="43">
        <v>10500</v>
      </c>
      <c r="D158" s="14">
        <v>4</v>
      </c>
      <c r="E158" s="44">
        <f t="shared" si="19"/>
        <v>42000</v>
      </c>
      <c r="F158" s="18">
        <v>0</v>
      </c>
      <c r="G158" s="51">
        <f t="shared" si="16"/>
        <v>0</v>
      </c>
      <c r="H158" s="18">
        <v>0</v>
      </c>
      <c r="I158" s="16">
        <f t="shared" si="22"/>
        <v>0</v>
      </c>
      <c r="J158" s="6">
        <f t="shared" si="17"/>
        <v>4</v>
      </c>
      <c r="K158" s="16">
        <f t="shared" si="18"/>
        <v>42000</v>
      </c>
    </row>
    <row r="159" spans="1:11" s="1" customFormat="1" x14ac:dyDescent="0.2">
      <c r="A159" s="27" t="s">
        <v>176</v>
      </c>
      <c r="B159" s="15" t="s">
        <v>144</v>
      </c>
      <c r="C159" s="43">
        <v>10500</v>
      </c>
      <c r="D159" s="14">
        <v>0</v>
      </c>
      <c r="E159" s="44">
        <f t="shared" si="19"/>
        <v>0</v>
      </c>
      <c r="F159" s="18">
        <v>20</v>
      </c>
      <c r="G159" s="51">
        <f t="shared" si="16"/>
        <v>210000</v>
      </c>
      <c r="H159" s="15">
        <v>10</v>
      </c>
      <c r="I159" s="16">
        <f t="shared" si="22"/>
        <v>105000</v>
      </c>
      <c r="J159" s="6">
        <f t="shared" si="17"/>
        <v>10</v>
      </c>
      <c r="K159" s="16">
        <f t="shared" si="18"/>
        <v>105000</v>
      </c>
    </row>
    <row r="160" spans="1:11" s="1" customFormat="1" x14ac:dyDescent="0.2">
      <c r="A160" s="27" t="s">
        <v>177</v>
      </c>
      <c r="B160" s="15" t="s">
        <v>144</v>
      </c>
      <c r="C160" s="43">
        <v>10500</v>
      </c>
      <c r="D160" s="14">
        <v>12</v>
      </c>
      <c r="E160" s="44">
        <f t="shared" si="19"/>
        <v>126000</v>
      </c>
      <c r="F160" s="18">
        <v>0</v>
      </c>
      <c r="G160" s="51">
        <f t="shared" si="16"/>
        <v>0</v>
      </c>
      <c r="H160" s="11">
        <v>0</v>
      </c>
      <c r="I160" s="16">
        <f t="shared" si="22"/>
        <v>0</v>
      </c>
      <c r="J160" s="6">
        <f>SUM(D160+F160)-H160</f>
        <v>12</v>
      </c>
      <c r="K160" s="16">
        <f t="shared" si="18"/>
        <v>126000</v>
      </c>
    </row>
    <row r="161" spans="1:11" s="1" customFormat="1" ht="25.5" x14ac:dyDescent="0.2">
      <c r="A161" s="58" t="s">
        <v>178</v>
      </c>
      <c r="B161" s="15" t="s">
        <v>144</v>
      </c>
      <c r="C161" s="43">
        <v>5250</v>
      </c>
      <c r="D161" s="14">
        <v>0</v>
      </c>
      <c r="E161" s="44">
        <f t="shared" si="19"/>
        <v>0</v>
      </c>
      <c r="F161" s="18">
        <v>0</v>
      </c>
      <c r="G161" s="51">
        <f t="shared" si="16"/>
        <v>0</v>
      </c>
      <c r="H161" s="15">
        <v>0</v>
      </c>
      <c r="I161" s="16">
        <f t="shared" si="22"/>
        <v>0</v>
      </c>
      <c r="J161" s="6">
        <f>SUM(D161+F161)-H161</f>
        <v>0</v>
      </c>
      <c r="K161" s="16">
        <f t="shared" si="18"/>
        <v>0</v>
      </c>
    </row>
    <row r="162" spans="1:11" s="1" customFormat="1" x14ac:dyDescent="0.2">
      <c r="A162" s="27" t="s">
        <v>179</v>
      </c>
      <c r="B162" s="15" t="s">
        <v>144</v>
      </c>
      <c r="C162" s="43">
        <v>7000</v>
      </c>
      <c r="D162" s="14">
        <v>9</v>
      </c>
      <c r="E162" s="44">
        <f t="shared" si="19"/>
        <v>63000</v>
      </c>
      <c r="F162" s="11">
        <v>0</v>
      </c>
      <c r="G162" s="51">
        <f t="shared" si="16"/>
        <v>0</v>
      </c>
      <c r="H162" s="15">
        <v>3</v>
      </c>
      <c r="I162" s="16">
        <f t="shared" si="22"/>
        <v>21000</v>
      </c>
      <c r="J162" s="6">
        <f t="shared" si="17"/>
        <v>6</v>
      </c>
      <c r="K162" s="16">
        <f t="shared" si="18"/>
        <v>42000</v>
      </c>
    </row>
    <row r="163" spans="1:11" s="1" customFormat="1" x14ac:dyDescent="0.2">
      <c r="A163" s="27" t="s">
        <v>180</v>
      </c>
      <c r="B163" s="15" t="s">
        <v>144</v>
      </c>
      <c r="C163" s="43">
        <v>7000</v>
      </c>
      <c r="D163" s="14">
        <v>10</v>
      </c>
      <c r="E163" s="44">
        <f t="shared" si="19"/>
        <v>70000</v>
      </c>
      <c r="F163" s="11">
        <v>0</v>
      </c>
      <c r="G163" s="51">
        <f t="shared" si="16"/>
        <v>0</v>
      </c>
      <c r="H163" s="8">
        <v>0</v>
      </c>
      <c r="I163" s="16">
        <f t="shared" si="22"/>
        <v>0</v>
      </c>
      <c r="J163" s="6">
        <f t="shared" si="17"/>
        <v>10</v>
      </c>
      <c r="K163" s="16">
        <f t="shared" si="18"/>
        <v>70000</v>
      </c>
    </row>
    <row r="164" spans="1:11" s="1" customFormat="1" x14ac:dyDescent="0.2">
      <c r="A164" s="27" t="s">
        <v>181</v>
      </c>
      <c r="B164" s="15" t="s">
        <v>144</v>
      </c>
      <c r="C164" s="43">
        <v>19000</v>
      </c>
      <c r="D164" s="14">
        <v>4</v>
      </c>
      <c r="E164" s="44">
        <f t="shared" si="19"/>
        <v>76000</v>
      </c>
      <c r="F164" s="11">
        <v>0</v>
      </c>
      <c r="G164" s="51">
        <f t="shared" si="16"/>
        <v>0</v>
      </c>
      <c r="H164" s="11">
        <v>0</v>
      </c>
      <c r="I164" s="16">
        <f t="shared" si="22"/>
        <v>0</v>
      </c>
      <c r="J164" s="6">
        <f t="shared" si="17"/>
        <v>4</v>
      </c>
      <c r="K164" s="16">
        <f t="shared" si="18"/>
        <v>76000</v>
      </c>
    </row>
    <row r="165" spans="1:11" s="1" customFormat="1" x14ac:dyDescent="0.2">
      <c r="A165" s="27" t="s">
        <v>182</v>
      </c>
      <c r="B165" s="15" t="s">
        <v>144</v>
      </c>
      <c r="C165" s="43">
        <v>19000</v>
      </c>
      <c r="D165" s="14">
        <v>0</v>
      </c>
      <c r="E165" s="44">
        <f t="shared" si="19"/>
        <v>0</v>
      </c>
      <c r="F165" s="11">
        <v>0</v>
      </c>
      <c r="G165" s="51">
        <f t="shared" si="16"/>
        <v>0</v>
      </c>
      <c r="H165" s="11">
        <v>0</v>
      </c>
      <c r="I165" s="16">
        <f t="shared" si="22"/>
        <v>0</v>
      </c>
      <c r="J165" s="6">
        <f t="shared" si="17"/>
        <v>0</v>
      </c>
      <c r="K165" s="16">
        <f t="shared" si="18"/>
        <v>0</v>
      </c>
    </row>
    <row r="166" spans="1:11" s="1" customFormat="1" x14ac:dyDescent="0.2">
      <c r="A166" s="27" t="s">
        <v>183</v>
      </c>
      <c r="B166" s="15" t="s">
        <v>144</v>
      </c>
      <c r="C166" s="43">
        <v>7000</v>
      </c>
      <c r="D166" s="14">
        <v>11</v>
      </c>
      <c r="E166" s="44">
        <f t="shared" si="19"/>
        <v>77000</v>
      </c>
      <c r="F166" s="11">
        <v>10</v>
      </c>
      <c r="G166" s="51">
        <f t="shared" si="16"/>
        <v>70000</v>
      </c>
      <c r="H166" s="8">
        <v>8</v>
      </c>
      <c r="I166" s="16">
        <f t="shared" si="22"/>
        <v>56000</v>
      </c>
      <c r="J166" s="6">
        <f t="shared" si="17"/>
        <v>13</v>
      </c>
      <c r="K166" s="16">
        <f t="shared" si="18"/>
        <v>91000</v>
      </c>
    </row>
    <row r="167" spans="1:11" s="1" customFormat="1" x14ac:dyDescent="0.2">
      <c r="A167" s="27" t="s">
        <v>184</v>
      </c>
      <c r="B167" s="15" t="s">
        <v>144</v>
      </c>
      <c r="C167" s="43">
        <v>9500</v>
      </c>
      <c r="D167" s="14">
        <v>12</v>
      </c>
      <c r="E167" s="44">
        <f t="shared" si="19"/>
        <v>114000</v>
      </c>
      <c r="F167" s="11">
        <v>0</v>
      </c>
      <c r="G167" s="51">
        <f t="shared" si="16"/>
        <v>0</v>
      </c>
      <c r="H167" s="11">
        <v>0</v>
      </c>
      <c r="I167" s="16">
        <f t="shared" si="22"/>
        <v>0</v>
      </c>
      <c r="J167" s="6">
        <f t="shared" si="17"/>
        <v>12</v>
      </c>
      <c r="K167" s="16">
        <f t="shared" si="18"/>
        <v>114000</v>
      </c>
    </row>
    <row r="168" spans="1:11" s="1" customFormat="1" x14ac:dyDescent="0.2">
      <c r="A168" s="27" t="s">
        <v>185</v>
      </c>
      <c r="B168" s="15" t="s">
        <v>144</v>
      </c>
      <c r="C168" s="43">
        <v>10500</v>
      </c>
      <c r="D168" s="14">
        <v>10</v>
      </c>
      <c r="E168" s="44">
        <f t="shared" si="19"/>
        <v>105000</v>
      </c>
      <c r="F168" s="11">
        <v>0</v>
      </c>
      <c r="G168" s="51">
        <f t="shared" si="16"/>
        <v>0</v>
      </c>
      <c r="H168" s="11">
        <v>0</v>
      </c>
      <c r="I168" s="16">
        <f t="shared" si="22"/>
        <v>0</v>
      </c>
      <c r="J168" s="6">
        <f t="shared" si="17"/>
        <v>10</v>
      </c>
      <c r="K168" s="16">
        <f t="shared" si="18"/>
        <v>105000</v>
      </c>
    </row>
    <row r="169" spans="1:11" s="1" customFormat="1" x14ac:dyDescent="0.2">
      <c r="A169" s="27" t="s">
        <v>186</v>
      </c>
      <c r="B169" s="15" t="s">
        <v>144</v>
      </c>
      <c r="C169" s="43">
        <v>5250</v>
      </c>
      <c r="D169" s="14">
        <v>10</v>
      </c>
      <c r="E169" s="44">
        <f t="shared" si="19"/>
        <v>52500</v>
      </c>
      <c r="F169" s="11">
        <v>10</v>
      </c>
      <c r="G169" s="51">
        <f t="shared" si="16"/>
        <v>52500</v>
      </c>
      <c r="H169" s="18">
        <v>2</v>
      </c>
      <c r="I169" s="16">
        <f t="shared" si="22"/>
        <v>10500</v>
      </c>
      <c r="J169" s="6">
        <f t="shared" si="17"/>
        <v>18</v>
      </c>
      <c r="K169" s="16">
        <f t="shared" si="18"/>
        <v>94500</v>
      </c>
    </row>
    <row r="170" spans="1:11" s="1" customFormat="1" x14ac:dyDescent="0.2">
      <c r="A170" s="27" t="s">
        <v>187</v>
      </c>
      <c r="B170" s="15" t="s">
        <v>144</v>
      </c>
      <c r="C170" s="43">
        <v>10500</v>
      </c>
      <c r="D170" s="14">
        <v>8</v>
      </c>
      <c r="E170" s="44">
        <f t="shared" si="19"/>
        <v>84000</v>
      </c>
      <c r="F170" s="11">
        <v>0</v>
      </c>
      <c r="G170" s="51">
        <f t="shared" si="16"/>
        <v>0</v>
      </c>
      <c r="H170" s="8">
        <v>0</v>
      </c>
      <c r="I170" s="16">
        <f t="shared" si="22"/>
        <v>0</v>
      </c>
      <c r="J170" s="6">
        <f t="shared" si="17"/>
        <v>8</v>
      </c>
      <c r="K170" s="16">
        <f t="shared" si="18"/>
        <v>84000</v>
      </c>
    </row>
    <row r="171" spans="1:11" s="1" customFormat="1" x14ac:dyDescent="0.2">
      <c r="A171" s="57" t="s">
        <v>188</v>
      </c>
      <c r="B171" s="15" t="s">
        <v>124</v>
      </c>
      <c r="C171" s="43">
        <v>5000</v>
      </c>
      <c r="D171" s="14">
        <v>0</v>
      </c>
      <c r="E171" s="44">
        <f t="shared" si="19"/>
        <v>0</v>
      </c>
      <c r="F171" s="11">
        <v>100</v>
      </c>
      <c r="G171" s="51">
        <f t="shared" si="16"/>
        <v>500000</v>
      </c>
      <c r="H171" s="8">
        <v>0</v>
      </c>
      <c r="I171" s="16">
        <f t="shared" si="22"/>
        <v>0</v>
      </c>
      <c r="J171" s="6">
        <f t="shared" si="17"/>
        <v>100</v>
      </c>
      <c r="K171" s="16">
        <f t="shared" si="18"/>
        <v>500000</v>
      </c>
    </row>
    <row r="172" spans="1:11" s="1" customFormat="1" x14ac:dyDescent="0.2">
      <c r="A172" s="57" t="s">
        <v>189</v>
      </c>
      <c r="B172" s="15" t="s">
        <v>12</v>
      </c>
      <c r="C172" s="43">
        <v>350000</v>
      </c>
      <c r="D172" s="14">
        <v>0</v>
      </c>
      <c r="E172" s="44">
        <f t="shared" si="19"/>
        <v>0</v>
      </c>
      <c r="F172" s="11">
        <v>1</v>
      </c>
      <c r="G172" s="51">
        <f t="shared" si="16"/>
        <v>350000</v>
      </c>
      <c r="H172" s="8">
        <v>1</v>
      </c>
      <c r="I172" s="16">
        <f t="shared" si="22"/>
        <v>350000</v>
      </c>
      <c r="J172" s="6">
        <f t="shared" si="17"/>
        <v>0</v>
      </c>
      <c r="K172" s="16">
        <f t="shared" si="18"/>
        <v>0</v>
      </c>
    </row>
    <row r="173" spans="1:11" s="1" customFormat="1" x14ac:dyDescent="0.2">
      <c r="A173" s="57" t="s">
        <v>190</v>
      </c>
      <c r="B173" s="15" t="s">
        <v>12</v>
      </c>
      <c r="C173" s="43">
        <v>350000</v>
      </c>
      <c r="D173" s="14">
        <v>0</v>
      </c>
      <c r="E173" s="44">
        <f t="shared" si="19"/>
        <v>0</v>
      </c>
      <c r="F173" s="11">
        <v>1</v>
      </c>
      <c r="G173" s="51">
        <f t="shared" si="16"/>
        <v>350000</v>
      </c>
      <c r="H173" s="8">
        <v>1</v>
      </c>
      <c r="I173" s="16">
        <f t="shared" si="22"/>
        <v>350000</v>
      </c>
      <c r="J173" s="6">
        <f t="shared" si="17"/>
        <v>0</v>
      </c>
      <c r="K173" s="16">
        <f t="shared" si="18"/>
        <v>0</v>
      </c>
    </row>
    <row r="174" spans="1:11" s="1" customFormat="1" x14ac:dyDescent="0.2">
      <c r="A174" s="57" t="s">
        <v>191</v>
      </c>
      <c r="B174" s="15" t="s">
        <v>12</v>
      </c>
      <c r="C174" s="43">
        <v>350000</v>
      </c>
      <c r="D174" s="14">
        <v>0</v>
      </c>
      <c r="E174" s="44">
        <f t="shared" si="19"/>
        <v>0</v>
      </c>
      <c r="F174" s="11">
        <v>1</v>
      </c>
      <c r="G174" s="51">
        <f t="shared" si="16"/>
        <v>350000</v>
      </c>
      <c r="H174" s="8">
        <v>1</v>
      </c>
      <c r="I174" s="16">
        <f t="shared" si="22"/>
        <v>350000</v>
      </c>
      <c r="J174" s="6">
        <f t="shared" si="17"/>
        <v>0</v>
      </c>
      <c r="K174" s="16">
        <f t="shared" si="18"/>
        <v>0</v>
      </c>
    </row>
    <row r="175" spans="1:11" s="1" customFormat="1" x14ac:dyDescent="0.2">
      <c r="A175" s="59" t="s">
        <v>192</v>
      </c>
      <c r="B175" s="60" t="s">
        <v>46</v>
      </c>
      <c r="C175" s="61">
        <v>6000</v>
      </c>
      <c r="D175" s="14">
        <v>27</v>
      </c>
      <c r="E175" s="44">
        <f t="shared" si="19"/>
        <v>162000</v>
      </c>
      <c r="F175" s="8">
        <v>0</v>
      </c>
      <c r="G175" s="9">
        <f t="shared" si="16"/>
        <v>0</v>
      </c>
      <c r="H175" s="8">
        <v>0</v>
      </c>
      <c r="I175" s="16">
        <f t="shared" si="22"/>
        <v>0</v>
      </c>
      <c r="J175" s="6">
        <f t="shared" ref="J175" si="23">SUM(D175+F175)-H175</f>
        <v>27</v>
      </c>
      <c r="K175" s="16">
        <f t="shared" si="18"/>
        <v>162000</v>
      </c>
    </row>
    <row r="176" spans="1:11" s="1" customFormat="1" x14ac:dyDescent="0.2">
      <c r="A176" s="103" t="s">
        <v>193</v>
      </c>
      <c r="B176" s="104"/>
      <c r="C176" s="104"/>
      <c r="D176" s="104"/>
      <c r="E176" s="104"/>
      <c r="F176" s="104"/>
      <c r="G176" s="104"/>
      <c r="H176" s="104"/>
      <c r="I176" s="104"/>
      <c r="J176" s="104"/>
      <c r="K176" s="105"/>
    </row>
    <row r="177" spans="1:12" s="13" customFormat="1" x14ac:dyDescent="0.2">
      <c r="A177" s="29" t="s">
        <v>194</v>
      </c>
      <c r="B177" s="8" t="s">
        <v>195</v>
      </c>
      <c r="C177" s="9">
        <v>102000</v>
      </c>
      <c r="D177" s="7">
        <v>4</v>
      </c>
      <c r="E177" s="33">
        <f t="shared" si="19"/>
        <v>408000</v>
      </c>
      <c r="F177" s="11">
        <v>5</v>
      </c>
      <c r="G177" s="9">
        <f t="shared" ref="G177:G220" si="24">F177*C177</f>
        <v>510000</v>
      </c>
      <c r="H177" s="8">
        <v>5</v>
      </c>
      <c r="I177" s="9">
        <f t="shared" ref="I177:I216" si="25">H177*C177</f>
        <v>510000</v>
      </c>
      <c r="J177" s="12">
        <f t="shared" ref="J177:J217" si="26">SUM(D177+F177)-H177</f>
        <v>4</v>
      </c>
      <c r="K177" s="9">
        <f t="shared" ref="K177:K217" si="27">J177*C177</f>
        <v>408000</v>
      </c>
    </row>
    <row r="178" spans="1:12" s="13" customFormat="1" x14ac:dyDescent="0.2">
      <c r="A178" s="29" t="s">
        <v>196</v>
      </c>
      <c r="B178" s="8" t="s">
        <v>195</v>
      </c>
      <c r="C178" s="9">
        <v>102600</v>
      </c>
      <c r="D178" s="7">
        <v>4</v>
      </c>
      <c r="E178" s="33">
        <f t="shared" si="19"/>
        <v>410400</v>
      </c>
      <c r="F178" s="11">
        <v>5</v>
      </c>
      <c r="G178" s="9">
        <f t="shared" si="24"/>
        <v>513000</v>
      </c>
      <c r="H178" s="18">
        <v>5</v>
      </c>
      <c r="I178" s="9">
        <f t="shared" si="25"/>
        <v>513000</v>
      </c>
      <c r="J178" s="12">
        <f t="shared" si="26"/>
        <v>4</v>
      </c>
      <c r="K178" s="9">
        <f t="shared" si="27"/>
        <v>410400</v>
      </c>
    </row>
    <row r="179" spans="1:12" s="13" customFormat="1" x14ac:dyDescent="0.2">
      <c r="A179" s="29" t="s">
        <v>197</v>
      </c>
      <c r="B179" s="8" t="s">
        <v>195</v>
      </c>
      <c r="C179" s="9">
        <v>70000</v>
      </c>
      <c r="D179" s="7">
        <v>4</v>
      </c>
      <c r="E179" s="33">
        <f t="shared" si="19"/>
        <v>280000</v>
      </c>
      <c r="F179" s="18">
        <v>0</v>
      </c>
      <c r="G179" s="9">
        <f t="shared" si="24"/>
        <v>0</v>
      </c>
      <c r="H179" s="18">
        <v>4</v>
      </c>
      <c r="I179" s="9">
        <f t="shared" si="25"/>
        <v>280000</v>
      </c>
      <c r="J179" s="12">
        <f t="shared" si="26"/>
        <v>0</v>
      </c>
      <c r="K179" s="9">
        <f t="shared" si="27"/>
        <v>0</v>
      </c>
    </row>
    <row r="180" spans="1:12" s="1" customFormat="1" x14ac:dyDescent="0.2">
      <c r="A180" s="29" t="s">
        <v>198</v>
      </c>
      <c r="B180" s="8" t="s">
        <v>15</v>
      </c>
      <c r="C180" s="9">
        <v>1500</v>
      </c>
      <c r="D180" s="14">
        <v>1</v>
      </c>
      <c r="E180" s="33">
        <f t="shared" si="19"/>
        <v>1500</v>
      </c>
      <c r="F180" s="18">
        <v>0</v>
      </c>
      <c r="G180" s="9">
        <f t="shared" si="24"/>
        <v>0</v>
      </c>
      <c r="H180" s="8">
        <v>0</v>
      </c>
      <c r="I180" s="9">
        <f t="shared" si="25"/>
        <v>0</v>
      </c>
      <c r="J180" s="12">
        <f t="shared" si="26"/>
        <v>1</v>
      </c>
      <c r="K180" s="9">
        <f t="shared" si="27"/>
        <v>1500</v>
      </c>
    </row>
    <row r="181" spans="1:12" s="1" customFormat="1" x14ac:dyDescent="0.2">
      <c r="A181" s="27" t="s">
        <v>199</v>
      </c>
      <c r="B181" s="15" t="s">
        <v>15</v>
      </c>
      <c r="C181" s="16">
        <v>12000</v>
      </c>
      <c r="D181" s="14">
        <v>0</v>
      </c>
      <c r="E181" s="44">
        <f t="shared" si="19"/>
        <v>0</v>
      </c>
      <c r="F181" s="18">
        <v>0</v>
      </c>
      <c r="G181" s="16">
        <f t="shared" si="24"/>
        <v>0</v>
      </c>
      <c r="H181" s="8">
        <v>0</v>
      </c>
      <c r="I181" s="9">
        <f t="shared" si="25"/>
        <v>0</v>
      </c>
      <c r="J181" s="6">
        <f t="shared" si="26"/>
        <v>0</v>
      </c>
      <c r="K181" s="16">
        <f t="shared" si="27"/>
        <v>0</v>
      </c>
    </row>
    <row r="182" spans="1:12" s="13" customFormat="1" x14ac:dyDescent="0.2">
      <c r="A182" s="29" t="s">
        <v>200</v>
      </c>
      <c r="B182" s="8" t="s">
        <v>201</v>
      </c>
      <c r="C182" s="9">
        <v>15000</v>
      </c>
      <c r="D182" s="7">
        <v>0</v>
      </c>
      <c r="E182" s="33">
        <f t="shared" si="19"/>
        <v>0</v>
      </c>
      <c r="F182" s="11">
        <v>6</v>
      </c>
      <c r="G182" s="9">
        <f t="shared" si="24"/>
        <v>90000</v>
      </c>
      <c r="H182" s="8">
        <v>2</v>
      </c>
      <c r="I182" s="9">
        <f t="shared" si="25"/>
        <v>30000</v>
      </c>
      <c r="J182" s="12">
        <f t="shared" si="26"/>
        <v>4</v>
      </c>
      <c r="K182" s="9">
        <f t="shared" si="27"/>
        <v>60000</v>
      </c>
    </row>
    <row r="183" spans="1:12" s="1" customFormat="1" x14ac:dyDescent="0.2">
      <c r="A183" s="27" t="s">
        <v>202</v>
      </c>
      <c r="B183" s="15" t="s">
        <v>201</v>
      </c>
      <c r="C183" s="16">
        <v>15000</v>
      </c>
      <c r="D183" s="14">
        <v>0</v>
      </c>
      <c r="E183" s="44">
        <f t="shared" si="19"/>
        <v>0</v>
      </c>
      <c r="F183" s="18">
        <v>6</v>
      </c>
      <c r="G183" s="16">
        <f t="shared" si="24"/>
        <v>90000</v>
      </c>
      <c r="H183" s="15">
        <v>2</v>
      </c>
      <c r="I183" s="9">
        <f t="shared" si="25"/>
        <v>30000</v>
      </c>
      <c r="J183" s="6">
        <f t="shared" si="26"/>
        <v>4</v>
      </c>
      <c r="K183" s="16">
        <f t="shared" si="27"/>
        <v>60000</v>
      </c>
    </row>
    <row r="184" spans="1:12" s="13" customFormat="1" x14ac:dyDescent="0.2">
      <c r="A184" s="29" t="s">
        <v>203</v>
      </c>
      <c r="B184" s="8" t="s">
        <v>62</v>
      </c>
      <c r="C184" s="9">
        <v>7000</v>
      </c>
      <c r="D184" s="7">
        <v>62</v>
      </c>
      <c r="E184" s="33">
        <f t="shared" si="19"/>
        <v>434000</v>
      </c>
      <c r="F184" s="11">
        <v>120</v>
      </c>
      <c r="G184" s="9">
        <f t="shared" si="24"/>
        <v>840000</v>
      </c>
      <c r="H184" s="8">
        <v>182</v>
      </c>
      <c r="I184" s="9">
        <f t="shared" si="25"/>
        <v>1274000</v>
      </c>
      <c r="J184" s="12">
        <f t="shared" si="26"/>
        <v>0</v>
      </c>
      <c r="K184" s="9">
        <f t="shared" si="27"/>
        <v>0</v>
      </c>
      <c r="L184" s="13">
        <v>116</v>
      </c>
    </row>
    <row r="185" spans="1:12" s="13" customFormat="1" x14ac:dyDescent="0.2">
      <c r="A185" s="29" t="s">
        <v>204</v>
      </c>
      <c r="B185" s="8" t="s">
        <v>62</v>
      </c>
      <c r="C185" s="9">
        <v>4000</v>
      </c>
      <c r="D185" s="7">
        <v>46</v>
      </c>
      <c r="E185" s="33">
        <f t="shared" si="19"/>
        <v>184000</v>
      </c>
      <c r="F185" s="11">
        <v>72</v>
      </c>
      <c r="G185" s="9">
        <f t="shared" si="24"/>
        <v>288000</v>
      </c>
      <c r="H185" s="8">
        <v>93</v>
      </c>
      <c r="I185" s="9">
        <f t="shared" si="25"/>
        <v>372000</v>
      </c>
      <c r="J185" s="12">
        <f t="shared" si="26"/>
        <v>25</v>
      </c>
      <c r="K185" s="9">
        <f t="shared" si="27"/>
        <v>100000</v>
      </c>
      <c r="L185" s="13">
        <f>3*24</f>
        <v>72</v>
      </c>
    </row>
    <row r="186" spans="1:12" s="13" customFormat="1" x14ac:dyDescent="0.2">
      <c r="A186" s="29" t="s">
        <v>205</v>
      </c>
      <c r="B186" s="8" t="s">
        <v>62</v>
      </c>
      <c r="C186" s="9">
        <v>4000</v>
      </c>
      <c r="D186" s="7">
        <v>39</v>
      </c>
      <c r="E186" s="33">
        <f t="shared" si="19"/>
        <v>156000</v>
      </c>
      <c r="F186" s="11">
        <v>0</v>
      </c>
      <c r="G186" s="9">
        <f t="shared" si="24"/>
        <v>0</v>
      </c>
      <c r="H186" s="8">
        <v>9</v>
      </c>
      <c r="I186" s="9">
        <f t="shared" si="25"/>
        <v>36000</v>
      </c>
      <c r="J186" s="12">
        <f t="shared" si="26"/>
        <v>30</v>
      </c>
      <c r="K186" s="9">
        <f t="shared" si="27"/>
        <v>120000</v>
      </c>
      <c r="L186" s="13">
        <f>L184-L185</f>
        <v>44</v>
      </c>
    </row>
    <row r="187" spans="1:12" s="13" customFormat="1" x14ac:dyDescent="0.2">
      <c r="A187" s="29" t="s">
        <v>206</v>
      </c>
      <c r="B187" s="8" t="s">
        <v>25</v>
      </c>
      <c r="C187" s="9">
        <v>30000</v>
      </c>
      <c r="D187" s="7">
        <v>0</v>
      </c>
      <c r="E187" s="33">
        <f>D187*C187</f>
        <v>0</v>
      </c>
      <c r="F187" s="11">
        <v>30</v>
      </c>
      <c r="G187" s="9">
        <f t="shared" si="24"/>
        <v>900000</v>
      </c>
      <c r="H187" s="8">
        <v>30</v>
      </c>
      <c r="I187" s="9">
        <f t="shared" si="25"/>
        <v>900000</v>
      </c>
      <c r="J187" s="6">
        <f t="shared" si="26"/>
        <v>0</v>
      </c>
      <c r="K187" s="9">
        <f t="shared" si="27"/>
        <v>0</v>
      </c>
      <c r="L187" s="13">
        <v>110</v>
      </c>
    </row>
    <row r="188" spans="1:12" s="13" customFormat="1" x14ac:dyDescent="0.2">
      <c r="A188" s="29" t="s">
        <v>207</v>
      </c>
      <c r="B188" s="8" t="s">
        <v>62</v>
      </c>
      <c r="C188" s="9">
        <v>20000</v>
      </c>
      <c r="D188" s="7">
        <v>0</v>
      </c>
      <c r="E188" s="33">
        <f t="shared" si="19"/>
        <v>0</v>
      </c>
      <c r="F188" s="11">
        <v>0</v>
      </c>
      <c r="G188" s="9">
        <f t="shared" si="24"/>
        <v>0</v>
      </c>
      <c r="H188" s="8">
        <v>0</v>
      </c>
      <c r="I188" s="9">
        <f t="shared" si="25"/>
        <v>0</v>
      </c>
      <c r="J188" s="12">
        <f t="shared" si="26"/>
        <v>0</v>
      </c>
      <c r="K188" s="9">
        <f t="shared" si="27"/>
        <v>0</v>
      </c>
    </row>
    <row r="189" spans="1:12" s="1" customFormat="1" x14ac:dyDescent="0.2">
      <c r="A189" s="29" t="s">
        <v>208</v>
      </c>
      <c r="B189" s="8" t="s">
        <v>62</v>
      </c>
      <c r="C189" s="9">
        <v>11000</v>
      </c>
      <c r="D189" s="14">
        <v>0</v>
      </c>
      <c r="E189" s="33">
        <f t="shared" si="19"/>
        <v>0</v>
      </c>
      <c r="F189" s="18">
        <v>0</v>
      </c>
      <c r="G189" s="9">
        <f t="shared" si="24"/>
        <v>0</v>
      </c>
      <c r="H189" s="8">
        <v>0</v>
      </c>
      <c r="I189" s="9">
        <f t="shared" si="25"/>
        <v>0</v>
      </c>
      <c r="J189" s="12">
        <f t="shared" si="26"/>
        <v>0</v>
      </c>
      <c r="K189" s="9">
        <f t="shared" si="27"/>
        <v>0</v>
      </c>
    </row>
    <row r="190" spans="1:12" s="1" customFormat="1" x14ac:dyDescent="0.2">
      <c r="A190" s="27" t="s">
        <v>209</v>
      </c>
      <c r="B190" s="15" t="s">
        <v>15</v>
      </c>
      <c r="C190" s="16">
        <v>25000</v>
      </c>
      <c r="D190" s="14">
        <v>0</v>
      </c>
      <c r="E190" s="44">
        <f t="shared" si="19"/>
        <v>0</v>
      </c>
      <c r="F190" s="18">
        <v>0</v>
      </c>
      <c r="G190" s="9">
        <f t="shared" si="24"/>
        <v>0</v>
      </c>
      <c r="H190" s="8">
        <v>0</v>
      </c>
      <c r="I190" s="16">
        <f t="shared" si="25"/>
        <v>0</v>
      </c>
      <c r="J190" s="12">
        <f t="shared" si="26"/>
        <v>0</v>
      </c>
      <c r="K190" s="16">
        <f t="shared" si="27"/>
        <v>0</v>
      </c>
    </row>
    <row r="191" spans="1:12" s="13" customFormat="1" x14ac:dyDescent="0.2">
      <c r="A191" s="27" t="s">
        <v>210</v>
      </c>
      <c r="B191" s="15" t="s">
        <v>17</v>
      </c>
      <c r="C191" s="16">
        <v>12500</v>
      </c>
      <c r="D191" s="7">
        <v>6</v>
      </c>
      <c r="E191" s="44">
        <f t="shared" si="19"/>
        <v>75000</v>
      </c>
      <c r="F191" s="18">
        <v>24</v>
      </c>
      <c r="G191" s="9">
        <f t="shared" si="24"/>
        <v>300000</v>
      </c>
      <c r="H191" s="15">
        <v>30</v>
      </c>
      <c r="I191" s="16">
        <f>H191*C191</f>
        <v>375000</v>
      </c>
      <c r="J191" s="12">
        <f t="shared" si="26"/>
        <v>0</v>
      </c>
      <c r="K191" s="16">
        <f t="shared" si="27"/>
        <v>0</v>
      </c>
    </row>
    <row r="192" spans="1:12" s="13" customFormat="1" x14ac:dyDescent="0.2">
      <c r="A192" s="29" t="s">
        <v>211</v>
      </c>
      <c r="B192" s="8" t="s">
        <v>212</v>
      </c>
      <c r="C192" s="9">
        <v>7000</v>
      </c>
      <c r="D192" s="7">
        <v>9</v>
      </c>
      <c r="E192" s="44">
        <f t="shared" ref="E192:E217" si="28">D192*C192</f>
        <v>63000</v>
      </c>
      <c r="F192" s="11">
        <v>0</v>
      </c>
      <c r="G192" s="9">
        <f t="shared" si="24"/>
        <v>0</v>
      </c>
      <c r="H192" s="8">
        <v>9</v>
      </c>
      <c r="I192" s="9">
        <f t="shared" si="25"/>
        <v>63000</v>
      </c>
      <c r="J192" s="12">
        <f t="shared" si="26"/>
        <v>0</v>
      </c>
      <c r="K192" s="9">
        <f t="shared" si="27"/>
        <v>0</v>
      </c>
    </row>
    <row r="193" spans="1:12" s="13" customFormat="1" x14ac:dyDescent="0.2">
      <c r="A193" s="29" t="s">
        <v>213</v>
      </c>
      <c r="B193" s="8" t="s">
        <v>214</v>
      </c>
      <c r="C193" s="9">
        <v>14000</v>
      </c>
      <c r="D193" s="7">
        <v>20</v>
      </c>
      <c r="E193" s="33">
        <f t="shared" si="28"/>
        <v>280000</v>
      </c>
      <c r="F193" s="11">
        <v>0</v>
      </c>
      <c r="G193" s="9">
        <f t="shared" si="24"/>
        <v>0</v>
      </c>
      <c r="H193" s="8">
        <v>20</v>
      </c>
      <c r="I193" s="9">
        <f t="shared" si="25"/>
        <v>280000</v>
      </c>
      <c r="J193" s="12">
        <f t="shared" si="26"/>
        <v>0</v>
      </c>
      <c r="K193" s="9">
        <f t="shared" si="27"/>
        <v>0</v>
      </c>
    </row>
    <row r="194" spans="1:12" s="13" customFormat="1" x14ac:dyDescent="0.2">
      <c r="A194" s="29" t="s">
        <v>215</v>
      </c>
      <c r="B194" s="8" t="s">
        <v>195</v>
      </c>
      <c r="C194" s="9">
        <v>145000</v>
      </c>
      <c r="D194" s="7">
        <v>2</v>
      </c>
      <c r="E194" s="33">
        <f t="shared" si="28"/>
        <v>290000</v>
      </c>
      <c r="F194" s="11">
        <v>0</v>
      </c>
      <c r="G194" s="9">
        <f t="shared" si="24"/>
        <v>0</v>
      </c>
      <c r="H194" s="8">
        <v>1</v>
      </c>
      <c r="I194" s="9">
        <f t="shared" si="25"/>
        <v>145000</v>
      </c>
      <c r="J194" s="12">
        <f t="shared" si="26"/>
        <v>1</v>
      </c>
      <c r="K194" s="9">
        <f t="shared" si="27"/>
        <v>145000</v>
      </c>
      <c r="L194" s="13">
        <f>144/24</f>
        <v>6</v>
      </c>
    </row>
    <row r="195" spans="1:12" s="13" customFormat="1" x14ac:dyDescent="0.2">
      <c r="A195" s="29" t="s">
        <v>216</v>
      </c>
      <c r="B195" s="8" t="s">
        <v>25</v>
      </c>
      <c r="C195" s="9">
        <v>28000</v>
      </c>
      <c r="D195" s="7">
        <v>0</v>
      </c>
      <c r="E195" s="33">
        <f t="shared" si="28"/>
        <v>0</v>
      </c>
      <c r="F195" s="11">
        <v>20</v>
      </c>
      <c r="G195" s="9">
        <f t="shared" si="24"/>
        <v>560000</v>
      </c>
      <c r="H195" s="8">
        <v>20</v>
      </c>
      <c r="I195" s="9">
        <f t="shared" si="25"/>
        <v>560000</v>
      </c>
      <c r="J195" s="12">
        <f t="shared" si="26"/>
        <v>0</v>
      </c>
      <c r="K195" s="9">
        <f t="shared" si="27"/>
        <v>0</v>
      </c>
    </row>
    <row r="196" spans="1:12" s="13" customFormat="1" x14ac:dyDescent="0.2">
      <c r="A196" s="29" t="s">
        <v>217</v>
      </c>
      <c r="B196" s="8" t="s">
        <v>25</v>
      </c>
      <c r="C196" s="9">
        <v>39000</v>
      </c>
      <c r="D196" s="7">
        <v>4</v>
      </c>
      <c r="E196" s="33">
        <f t="shared" si="28"/>
        <v>156000</v>
      </c>
      <c r="F196" s="11">
        <v>10</v>
      </c>
      <c r="G196" s="9">
        <f t="shared" si="24"/>
        <v>390000</v>
      </c>
      <c r="H196" s="8">
        <v>8</v>
      </c>
      <c r="I196" s="9">
        <f t="shared" si="25"/>
        <v>312000</v>
      </c>
      <c r="J196" s="12">
        <f t="shared" si="26"/>
        <v>6</v>
      </c>
      <c r="K196" s="9">
        <f t="shared" si="27"/>
        <v>234000</v>
      </c>
    </row>
    <row r="197" spans="1:12" s="13" customFormat="1" x14ac:dyDescent="0.2">
      <c r="A197" s="29" t="s">
        <v>218</v>
      </c>
      <c r="B197" s="8" t="s">
        <v>25</v>
      </c>
      <c r="C197" s="9">
        <v>82000</v>
      </c>
      <c r="D197" s="7">
        <v>2</v>
      </c>
      <c r="E197" s="33">
        <f t="shared" si="28"/>
        <v>164000</v>
      </c>
      <c r="F197" s="11">
        <v>20</v>
      </c>
      <c r="G197" s="9">
        <f t="shared" si="24"/>
        <v>1640000</v>
      </c>
      <c r="H197" s="8">
        <v>19</v>
      </c>
      <c r="I197" s="9">
        <f t="shared" si="25"/>
        <v>1558000</v>
      </c>
      <c r="J197" s="12">
        <f t="shared" si="26"/>
        <v>3</v>
      </c>
      <c r="K197" s="9">
        <f t="shared" si="27"/>
        <v>246000</v>
      </c>
    </row>
    <row r="198" spans="1:12" s="1" customFormat="1" x14ac:dyDescent="0.2">
      <c r="A198" s="27" t="s">
        <v>219</v>
      </c>
      <c r="B198" s="15" t="s">
        <v>25</v>
      </c>
      <c r="C198" s="16">
        <v>93000</v>
      </c>
      <c r="D198" s="14">
        <v>0</v>
      </c>
      <c r="E198" s="44">
        <f t="shared" si="28"/>
        <v>0</v>
      </c>
      <c r="F198" s="24">
        <v>4</v>
      </c>
      <c r="G198" s="16">
        <f t="shared" si="24"/>
        <v>372000</v>
      </c>
      <c r="H198" s="24">
        <v>3</v>
      </c>
      <c r="I198" s="16">
        <f t="shared" si="25"/>
        <v>279000</v>
      </c>
      <c r="J198" s="6">
        <f t="shared" si="26"/>
        <v>1</v>
      </c>
      <c r="K198" s="16">
        <f t="shared" si="27"/>
        <v>93000</v>
      </c>
    </row>
    <row r="199" spans="1:12" s="22" customFormat="1" x14ac:dyDescent="0.2">
      <c r="A199" s="27" t="s">
        <v>220</v>
      </c>
      <c r="B199" s="15" t="s">
        <v>25</v>
      </c>
      <c r="C199" s="16">
        <v>35000</v>
      </c>
      <c r="D199" s="21">
        <v>2</v>
      </c>
      <c r="E199" s="44">
        <f t="shared" si="28"/>
        <v>70000</v>
      </c>
      <c r="F199" s="18">
        <v>0</v>
      </c>
      <c r="G199" s="16">
        <f t="shared" si="24"/>
        <v>0</v>
      </c>
      <c r="H199" s="18">
        <v>0</v>
      </c>
      <c r="I199" s="16">
        <f t="shared" si="25"/>
        <v>0</v>
      </c>
      <c r="J199" s="6">
        <f t="shared" si="26"/>
        <v>2</v>
      </c>
      <c r="K199" s="16">
        <f t="shared" si="27"/>
        <v>70000</v>
      </c>
    </row>
    <row r="200" spans="1:12" s="13" customFormat="1" x14ac:dyDescent="0.2">
      <c r="A200" s="29" t="s">
        <v>221</v>
      </c>
      <c r="B200" s="8" t="s">
        <v>25</v>
      </c>
      <c r="C200" s="9">
        <v>35000</v>
      </c>
      <c r="D200" s="7">
        <v>4</v>
      </c>
      <c r="E200" s="33">
        <f t="shared" si="28"/>
        <v>140000</v>
      </c>
      <c r="F200" s="11">
        <v>5</v>
      </c>
      <c r="G200" s="9">
        <f t="shared" si="24"/>
        <v>175000</v>
      </c>
      <c r="H200" s="15">
        <v>6</v>
      </c>
      <c r="I200" s="9">
        <f t="shared" si="25"/>
        <v>210000</v>
      </c>
      <c r="J200" s="12">
        <f t="shared" si="26"/>
        <v>3</v>
      </c>
      <c r="K200" s="9">
        <f t="shared" si="27"/>
        <v>105000</v>
      </c>
    </row>
    <row r="201" spans="1:12" s="22" customFormat="1" x14ac:dyDescent="0.2">
      <c r="A201" s="58" t="s">
        <v>222</v>
      </c>
      <c r="B201" s="15" t="s">
        <v>25</v>
      </c>
      <c r="C201" s="16">
        <v>64000</v>
      </c>
      <c r="D201" s="21">
        <v>0</v>
      </c>
      <c r="E201" s="44">
        <f t="shared" si="28"/>
        <v>0</v>
      </c>
      <c r="F201" s="11">
        <v>0</v>
      </c>
      <c r="G201" s="16">
        <f t="shared" si="24"/>
        <v>0</v>
      </c>
      <c r="H201" s="11">
        <v>0</v>
      </c>
      <c r="I201" s="16">
        <f t="shared" si="25"/>
        <v>0</v>
      </c>
      <c r="J201" s="6">
        <f t="shared" si="26"/>
        <v>0</v>
      </c>
      <c r="K201" s="16">
        <f t="shared" si="27"/>
        <v>0</v>
      </c>
    </row>
    <row r="202" spans="1:12" s="13" customFormat="1" x14ac:dyDescent="0.2">
      <c r="A202" s="31" t="s">
        <v>223</v>
      </c>
      <c r="B202" s="8" t="s">
        <v>25</v>
      </c>
      <c r="C202" s="9">
        <v>4500</v>
      </c>
      <c r="D202" s="7">
        <v>80</v>
      </c>
      <c r="E202" s="33">
        <f t="shared" si="28"/>
        <v>360000</v>
      </c>
      <c r="F202" s="11">
        <v>30</v>
      </c>
      <c r="G202" s="9">
        <f>F202*C202</f>
        <v>135000</v>
      </c>
      <c r="H202" s="8">
        <v>110</v>
      </c>
      <c r="I202" s="9">
        <f t="shared" si="25"/>
        <v>495000</v>
      </c>
      <c r="J202" s="12">
        <f t="shared" si="26"/>
        <v>0</v>
      </c>
      <c r="K202" s="9">
        <f t="shared" si="27"/>
        <v>0</v>
      </c>
    </row>
    <row r="203" spans="1:12" s="22" customFormat="1" ht="25.5" x14ac:dyDescent="0.2">
      <c r="A203" s="58" t="s">
        <v>224</v>
      </c>
      <c r="B203" s="15" t="s">
        <v>25</v>
      </c>
      <c r="C203" s="16">
        <v>5600</v>
      </c>
      <c r="D203" s="21">
        <v>7</v>
      </c>
      <c r="E203" s="44">
        <f t="shared" si="28"/>
        <v>39200</v>
      </c>
      <c r="F203" s="18">
        <v>0</v>
      </c>
      <c r="G203" s="16">
        <f t="shared" si="24"/>
        <v>0</v>
      </c>
      <c r="H203" s="18">
        <v>0</v>
      </c>
      <c r="I203" s="16">
        <f t="shared" si="25"/>
        <v>0</v>
      </c>
      <c r="J203" s="6">
        <f t="shared" si="26"/>
        <v>7</v>
      </c>
      <c r="K203" s="16">
        <f t="shared" si="27"/>
        <v>39200</v>
      </c>
    </row>
    <row r="204" spans="1:12" s="13" customFormat="1" x14ac:dyDescent="0.2">
      <c r="A204" s="31" t="s">
        <v>225</v>
      </c>
      <c r="B204" s="8" t="s">
        <v>25</v>
      </c>
      <c r="C204" s="9">
        <v>2100</v>
      </c>
      <c r="D204" s="7">
        <v>15</v>
      </c>
      <c r="E204" s="33">
        <f t="shared" si="28"/>
        <v>31500</v>
      </c>
      <c r="F204" s="11">
        <v>100</v>
      </c>
      <c r="G204" s="9">
        <f t="shared" si="24"/>
        <v>210000</v>
      </c>
      <c r="H204" s="8">
        <v>95</v>
      </c>
      <c r="I204" s="9">
        <f t="shared" si="25"/>
        <v>199500</v>
      </c>
      <c r="J204" s="12">
        <f t="shared" si="26"/>
        <v>20</v>
      </c>
      <c r="K204" s="9">
        <f t="shared" si="27"/>
        <v>42000</v>
      </c>
    </row>
    <row r="205" spans="1:12" s="13" customFormat="1" x14ac:dyDescent="0.2">
      <c r="A205" s="31" t="s">
        <v>226</v>
      </c>
      <c r="B205" s="8" t="s">
        <v>25</v>
      </c>
      <c r="C205" s="9">
        <v>2600</v>
      </c>
      <c r="D205" s="7">
        <v>15</v>
      </c>
      <c r="E205" s="33">
        <f t="shared" si="28"/>
        <v>39000</v>
      </c>
      <c r="F205" s="11">
        <v>100</v>
      </c>
      <c r="G205" s="9">
        <f t="shared" si="24"/>
        <v>260000</v>
      </c>
      <c r="H205" s="8">
        <v>95</v>
      </c>
      <c r="I205" s="9">
        <f t="shared" si="25"/>
        <v>247000</v>
      </c>
      <c r="J205" s="12">
        <f t="shared" si="26"/>
        <v>20</v>
      </c>
      <c r="K205" s="9">
        <f t="shared" si="27"/>
        <v>52000</v>
      </c>
    </row>
    <row r="206" spans="1:12" s="22" customFormat="1" ht="25.5" x14ac:dyDescent="0.2">
      <c r="A206" s="58" t="s">
        <v>227</v>
      </c>
      <c r="B206" s="15" t="s">
        <v>25</v>
      </c>
      <c r="C206" s="16">
        <v>3500</v>
      </c>
      <c r="D206" s="21">
        <v>0</v>
      </c>
      <c r="E206" s="44">
        <f t="shared" si="28"/>
        <v>0</v>
      </c>
      <c r="F206" s="18">
        <v>70</v>
      </c>
      <c r="G206" s="16">
        <f t="shared" si="24"/>
        <v>245000</v>
      </c>
      <c r="H206" s="15">
        <v>50</v>
      </c>
      <c r="I206" s="16">
        <f t="shared" si="25"/>
        <v>175000</v>
      </c>
      <c r="J206" s="6">
        <f t="shared" si="26"/>
        <v>20</v>
      </c>
      <c r="K206" s="16">
        <f t="shared" si="27"/>
        <v>70000</v>
      </c>
    </row>
    <row r="207" spans="1:12" s="22" customFormat="1" ht="25.5" x14ac:dyDescent="0.2">
      <c r="A207" s="58" t="s">
        <v>228</v>
      </c>
      <c r="B207" s="15" t="s">
        <v>25</v>
      </c>
      <c r="C207" s="16">
        <v>4900</v>
      </c>
      <c r="D207" s="21">
        <v>35</v>
      </c>
      <c r="E207" s="44">
        <f t="shared" si="28"/>
        <v>171500</v>
      </c>
      <c r="F207" s="18">
        <v>55</v>
      </c>
      <c r="G207" s="16">
        <f t="shared" si="24"/>
        <v>269500</v>
      </c>
      <c r="H207" s="15">
        <v>60</v>
      </c>
      <c r="I207" s="16">
        <f t="shared" si="25"/>
        <v>294000</v>
      </c>
      <c r="J207" s="6">
        <f t="shared" si="26"/>
        <v>30</v>
      </c>
      <c r="K207" s="16">
        <f t="shared" si="27"/>
        <v>147000</v>
      </c>
    </row>
    <row r="208" spans="1:12" s="22" customFormat="1" x14ac:dyDescent="0.2">
      <c r="A208" s="58" t="s">
        <v>229</v>
      </c>
      <c r="B208" s="15" t="s">
        <v>25</v>
      </c>
      <c r="C208" s="16">
        <v>15000</v>
      </c>
      <c r="D208" s="21">
        <v>0</v>
      </c>
      <c r="E208" s="44">
        <f t="shared" si="28"/>
        <v>0</v>
      </c>
      <c r="F208" s="18">
        <v>0</v>
      </c>
      <c r="G208" s="16">
        <f t="shared" si="24"/>
        <v>0</v>
      </c>
      <c r="H208" s="15">
        <v>0</v>
      </c>
      <c r="I208" s="16">
        <f t="shared" si="25"/>
        <v>0</v>
      </c>
      <c r="J208" s="6">
        <f t="shared" si="26"/>
        <v>0</v>
      </c>
      <c r="K208" s="16">
        <f t="shared" si="27"/>
        <v>0</v>
      </c>
    </row>
    <row r="209" spans="1:11" s="22" customFormat="1" x14ac:dyDescent="0.2">
      <c r="A209" s="58" t="s">
        <v>230</v>
      </c>
      <c r="B209" s="15" t="s">
        <v>25</v>
      </c>
      <c r="C209" s="16">
        <v>25000</v>
      </c>
      <c r="D209" s="21">
        <v>0</v>
      </c>
      <c r="E209" s="44">
        <f t="shared" si="28"/>
        <v>0</v>
      </c>
      <c r="F209" s="18">
        <v>0</v>
      </c>
      <c r="G209" s="16">
        <f t="shared" si="24"/>
        <v>0</v>
      </c>
      <c r="H209" s="15">
        <v>0</v>
      </c>
      <c r="I209" s="16">
        <f t="shared" si="25"/>
        <v>0</v>
      </c>
      <c r="J209" s="6">
        <f t="shared" si="26"/>
        <v>0</v>
      </c>
      <c r="K209" s="16">
        <f t="shared" si="27"/>
        <v>0</v>
      </c>
    </row>
    <row r="210" spans="1:11" s="22" customFormat="1" x14ac:dyDescent="0.2">
      <c r="A210" s="29" t="s">
        <v>231</v>
      </c>
      <c r="B210" s="8" t="s">
        <v>15</v>
      </c>
      <c r="C210" s="9">
        <v>55000</v>
      </c>
      <c r="D210" s="21">
        <v>3</v>
      </c>
      <c r="E210" s="33">
        <f t="shared" si="28"/>
        <v>165000</v>
      </c>
      <c r="F210" s="18">
        <v>0</v>
      </c>
      <c r="G210" s="9">
        <f t="shared" si="24"/>
        <v>0</v>
      </c>
      <c r="H210" s="18">
        <v>0</v>
      </c>
      <c r="I210" s="9">
        <f t="shared" si="25"/>
        <v>0</v>
      </c>
      <c r="J210" s="12">
        <f t="shared" si="26"/>
        <v>3</v>
      </c>
      <c r="K210" s="9">
        <f t="shared" si="27"/>
        <v>165000</v>
      </c>
    </row>
    <row r="211" spans="1:11" s="22" customFormat="1" x14ac:dyDescent="0.2">
      <c r="A211" s="27" t="s">
        <v>232</v>
      </c>
      <c r="B211" s="15" t="s">
        <v>15</v>
      </c>
      <c r="C211" s="16">
        <v>10000</v>
      </c>
      <c r="D211" s="21">
        <v>13</v>
      </c>
      <c r="E211" s="33">
        <f t="shared" si="28"/>
        <v>130000</v>
      </c>
      <c r="F211" s="18">
        <v>0</v>
      </c>
      <c r="G211" s="16">
        <f t="shared" si="24"/>
        <v>0</v>
      </c>
      <c r="H211" s="18">
        <v>0</v>
      </c>
      <c r="I211" s="16">
        <f t="shared" si="25"/>
        <v>0</v>
      </c>
      <c r="J211" s="6">
        <f t="shared" si="26"/>
        <v>13</v>
      </c>
      <c r="K211" s="16">
        <f t="shared" si="27"/>
        <v>130000</v>
      </c>
    </row>
    <row r="212" spans="1:11" s="22" customFormat="1" x14ac:dyDescent="0.2">
      <c r="A212" s="27" t="s">
        <v>233</v>
      </c>
      <c r="B212" s="15" t="s">
        <v>234</v>
      </c>
      <c r="C212" s="16">
        <v>1000</v>
      </c>
      <c r="D212" s="21">
        <v>0</v>
      </c>
      <c r="E212" s="44">
        <f t="shared" si="28"/>
        <v>0</v>
      </c>
      <c r="F212" s="18">
        <v>0</v>
      </c>
      <c r="G212" s="16">
        <f t="shared" si="24"/>
        <v>0</v>
      </c>
      <c r="H212" s="18">
        <v>0</v>
      </c>
      <c r="I212" s="16">
        <f t="shared" si="25"/>
        <v>0</v>
      </c>
      <c r="J212" s="6">
        <f t="shared" si="26"/>
        <v>0</v>
      </c>
      <c r="K212" s="16">
        <f t="shared" si="27"/>
        <v>0</v>
      </c>
    </row>
    <row r="213" spans="1:11" s="22" customFormat="1" x14ac:dyDescent="0.2">
      <c r="A213" s="27" t="s">
        <v>235</v>
      </c>
      <c r="B213" s="15" t="s">
        <v>62</v>
      </c>
      <c r="C213" s="16">
        <v>35000</v>
      </c>
      <c r="D213" s="21">
        <v>10</v>
      </c>
      <c r="E213" s="44">
        <f t="shared" si="28"/>
        <v>350000</v>
      </c>
      <c r="F213" s="18">
        <v>0</v>
      </c>
      <c r="G213" s="16">
        <f t="shared" si="24"/>
        <v>0</v>
      </c>
      <c r="H213" s="18">
        <v>0</v>
      </c>
      <c r="I213" s="16">
        <f t="shared" si="25"/>
        <v>0</v>
      </c>
      <c r="J213" s="6">
        <f t="shared" si="26"/>
        <v>10</v>
      </c>
      <c r="K213" s="16">
        <f t="shared" si="27"/>
        <v>350000</v>
      </c>
    </row>
    <row r="214" spans="1:11" s="13" customFormat="1" x14ac:dyDescent="0.2">
      <c r="A214" s="29" t="s">
        <v>236</v>
      </c>
      <c r="B214" s="8" t="s">
        <v>237</v>
      </c>
      <c r="C214" s="9">
        <v>107950</v>
      </c>
      <c r="D214" s="7">
        <v>2</v>
      </c>
      <c r="E214" s="33">
        <f t="shared" si="28"/>
        <v>215900</v>
      </c>
      <c r="F214" s="11">
        <v>2</v>
      </c>
      <c r="G214" s="16">
        <f t="shared" si="24"/>
        <v>215900</v>
      </c>
      <c r="H214" s="8">
        <v>2</v>
      </c>
      <c r="I214" s="9">
        <f t="shared" si="25"/>
        <v>215900</v>
      </c>
      <c r="J214" s="12">
        <f t="shared" si="26"/>
        <v>2</v>
      </c>
      <c r="K214" s="9">
        <f t="shared" si="27"/>
        <v>215900</v>
      </c>
    </row>
    <row r="215" spans="1:11" s="22" customFormat="1" x14ac:dyDescent="0.2">
      <c r="A215" s="29" t="s">
        <v>238</v>
      </c>
      <c r="B215" s="8" t="s">
        <v>195</v>
      </c>
      <c r="C215" s="9">
        <v>97750</v>
      </c>
      <c r="D215" s="21">
        <v>1</v>
      </c>
      <c r="E215" s="33">
        <f t="shared" si="28"/>
        <v>97750</v>
      </c>
      <c r="F215" s="11">
        <v>2</v>
      </c>
      <c r="G215" s="9">
        <f t="shared" si="24"/>
        <v>195500</v>
      </c>
      <c r="H215" s="8">
        <v>3</v>
      </c>
      <c r="I215" s="9">
        <f t="shared" si="25"/>
        <v>293250</v>
      </c>
      <c r="J215" s="12">
        <f t="shared" si="26"/>
        <v>0</v>
      </c>
      <c r="K215" s="9">
        <f t="shared" si="27"/>
        <v>0</v>
      </c>
    </row>
    <row r="216" spans="1:11" s="22" customFormat="1" x14ac:dyDescent="0.2">
      <c r="A216" s="29" t="s">
        <v>239</v>
      </c>
      <c r="B216" s="8" t="s">
        <v>25</v>
      </c>
      <c r="C216" s="9">
        <v>6500</v>
      </c>
      <c r="D216" s="21">
        <v>2</v>
      </c>
      <c r="E216" s="33">
        <f t="shared" si="28"/>
        <v>13000</v>
      </c>
      <c r="F216" s="11">
        <v>5</v>
      </c>
      <c r="G216" s="9">
        <f t="shared" si="24"/>
        <v>32500</v>
      </c>
      <c r="H216" s="8">
        <v>6</v>
      </c>
      <c r="I216" s="9">
        <f t="shared" si="25"/>
        <v>39000</v>
      </c>
      <c r="J216" s="12">
        <f t="shared" si="26"/>
        <v>1</v>
      </c>
      <c r="K216" s="9">
        <f t="shared" si="27"/>
        <v>6500</v>
      </c>
    </row>
    <row r="217" spans="1:11" s="22" customFormat="1" x14ac:dyDescent="0.2">
      <c r="A217" s="29" t="s">
        <v>240</v>
      </c>
      <c r="B217" s="8" t="s">
        <v>15</v>
      </c>
      <c r="C217" s="9">
        <v>5000</v>
      </c>
      <c r="D217" s="21">
        <v>8</v>
      </c>
      <c r="E217" s="33">
        <f t="shared" si="28"/>
        <v>40000</v>
      </c>
      <c r="F217" s="18">
        <v>72</v>
      </c>
      <c r="G217" s="9">
        <f t="shared" si="24"/>
        <v>360000</v>
      </c>
      <c r="H217" s="18">
        <v>44</v>
      </c>
      <c r="I217" s="9">
        <f>H217*C217</f>
        <v>220000</v>
      </c>
      <c r="J217" s="12">
        <f t="shared" si="26"/>
        <v>36</v>
      </c>
      <c r="K217" s="9">
        <f t="shared" si="27"/>
        <v>180000</v>
      </c>
    </row>
    <row r="218" spans="1:11" s="22" customFormat="1" x14ac:dyDescent="0.2">
      <c r="A218" s="103" t="s">
        <v>241</v>
      </c>
      <c r="B218" s="104"/>
      <c r="C218" s="104"/>
      <c r="D218" s="104"/>
      <c r="E218" s="104"/>
      <c r="F218" s="104"/>
      <c r="G218" s="104"/>
      <c r="H218" s="104"/>
      <c r="I218" s="104"/>
      <c r="J218" s="104"/>
      <c r="K218" s="105"/>
    </row>
    <row r="219" spans="1:11" s="22" customFormat="1" x14ac:dyDescent="0.2">
      <c r="A219" s="29" t="s">
        <v>242</v>
      </c>
      <c r="B219" s="8" t="s">
        <v>15</v>
      </c>
      <c r="C219" s="62">
        <v>45000</v>
      </c>
      <c r="D219" s="21">
        <v>11</v>
      </c>
      <c r="E219" s="30">
        <f>SUM(C219*D219)</f>
        <v>495000</v>
      </c>
      <c r="F219" s="11">
        <v>11</v>
      </c>
      <c r="G219" s="9">
        <f t="shared" si="24"/>
        <v>495000</v>
      </c>
      <c r="H219" s="11">
        <v>0</v>
      </c>
      <c r="I219" s="63">
        <f>SUM(C219*H219)</f>
        <v>0</v>
      </c>
      <c r="J219" s="12">
        <f>SUM(D219+F219)-H219</f>
        <v>22</v>
      </c>
      <c r="K219" s="63">
        <f>SUM(C219*J219)</f>
        <v>990000</v>
      </c>
    </row>
    <row r="220" spans="1:11" s="22" customFormat="1" x14ac:dyDescent="0.2">
      <c r="A220" s="29" t="s">
        <v>243</v>
      </c>
      <c r="B220" s="8" t="s">
        <v>15</v>
      </c>
      <c r="C220" s="62">
        <v>60000</v>
      </c>
      <c r="D220" s="21">
        <v>10</v>
      </c>
      <c r="E220" s="30">
        <f>SUM(C220*D220)</f>
        <v>600000</v>
      </c>
      <c r="F220" s="11">
        <v>10</v>
      </c>
      <c r="G220" s="9">
        <f t="shared" si="24"/>
        <v>600000</v>
      </c>
      <c r="H220" s="11">
        <v>0</v>
      </c>
      <c r="I220" s="63">
        <f>SUM(C220*H220)</f>
        <v>0</v>
      </c>
      <c r="J220" s="12">
        <f>SUM(D220+F220)-H220</f>
        <v>20</v>
      </c>
      <c r="K220" s="63">
        <f>SUM(C220*J220)</f>
        <v>1200000</v>
      </c>
    </row>
    <row r="221" spans="1:11" s="22" customFormat="1" x14ac:dyDescent="0.2">
      <c r="A221" s="64" t="s">
        <v>244</v>
      </c>
      <c r="B221" s="24" t="s">
        <v>62</v>
      </c>
      <c r="C221" s="64">
        <v>120000</v>
      </c>
      <c r="D221" s="21">
        <v>3</v>
      </c>
      <c r="E221" s="44">
        <f>D221*C221</f>
        <v>360000</v>
      </c>
      <c r="F221" s="11">
        <v>0</v>
      </c>
      <c r="G221" s="16">
        <f>F221*C221</f>
        <v>0</v>
      </c>
      <c r="H221" s="11">
        <v>0</v>
      </c>
      <c r="I221" s="16">
        <f>H221*C221</f>
        <v>0</v>
      </c>
      <c r="J221" s="6">
        <f>SUM(D221+F221)-H221</f>
        <v>3</v>
      </c>
      <c r="K221" s="16">
        <f>J221*C221</f>
        <v>360000</v>
      </c>
    </row>
    <row r="222" spans="1:11" s="22" customFormat="1" x14ac:dyDescent="0.2">
      <c r="A222" s="64" t="s">
        <v>245</v>
      </c>
      <c r="B222" s="24" t="s">
        <v>15</v>
      </c>
      <c r="C222" s="64">
        <v>60000</v>
      </c>
      <c r="D222" s="21">
        <v>0</v>
      </c>
      <c r="E222" s="44">
        <f t="shared" ref="E222:E254" si="29">D222*C222</f>
        <v>0</v>
      </c>
      <c r="F222" s="11">
        <v>0</v>
      </c>
      <c r="G222" s="16">
        <f t="shared" ref="G222:G230" si="30">F222*C222</f>
        <v>0</v>
      </c>
      <c r="H222" s="11">
        <v>0</v>
      </c>
      <c r="I222" s="16">
        <f t="shared" ref="I222:I269" si="31">H222*C222</f>
        <v>0</v>
      </c>
      <c r="J222" s="6">
        <f t="shared" ref="J222:J270" si="32">SUM(D222+F222)-H222</f>
        <v>0</v>
      </c>
      <c r="K222" s="16">
        <f t="shared" ref="K222:K272" si="33">J222*C222</f>
        <v>0</v>
      </c>
    </row>
    <row r="223" spans="1:11" s="22" customFormat="1" x14ac:dyDescent="0.2">
      <c r="A223" s="64" t="s">
        <v>246</v>
      </c>
      <c r="B223" s="24" t="s">
        <v>15</v>
      </c>
      <c r="C223" s="64">
        <v>170000</v>
      </c>
      <c r="D223" s="21">
        <v>3</v>
      </c>
      <c r="E223" s="44">
        <f t="shared" si="29"/>
        <v>510000</v>
      </c>
      <c r="F223" s="11">
        <v>0</v>
      </c>
      <c r="G223" s="16">
        <f t="shared" si="30"/>
        <v>0</v>
      </c>
      <c r="H223" s="11">
        <v>0</v>
      </c>
      <c r="I223" s="16">
        <f t="shared" si="31"/>
        <v>0</v>
      </c>
      <c r="J223" s="6">
        <f t="shared" si="32"/>
        <v>3</v>
      </c>
      <c r="K223" s="16">
        <f t="shared" si="33"/>
        <v>510000</v>
      </c>
    </row>
    <row r="224" spans="1:11" s="22" customFormat="1" x14ac:dyDescent="0.2">
      <c r="A224" s="65" t="s">
        <v>247</v>
      </c>
      <c r="B224" s="24" t="s">
        <v>62</v>
      </c>
      <c r="C224" s="66">
        <v>53000</v>
      </c>
      <c r="D224" s="21">
        <v>10</v>
      </c>
      <c r="E224" s="44">
        <f t="shared" si="29"/>
        <v>530000</v>
      </c>
      <c r="F224" s="11">
        <v>0</v>
      </c>
      <c r="G224" s="16">
        <f t="shared" si="30"/>
        <v>0</v>
      </c>
      <c r="H224" s="11">
        <v>0</v>
      </c>
      <c r="I224" s="16">
        <f t="shared" si="31"/>
        <v>0</v>
      </c>
      <c r="J224" s="6">
        <f t="shared" si="32"/>
        <v>10</v>
      </c>
      <c r="K224" s="16">
        <f t="shared" si="33"/>
        <v>530000</v>
      </c>
    </row>
    <row r="225" spans="1:11" s="22" customFormat="1" x14ac:dyDescent="0.2">
      <c r="A225" s="65" t="s">
        <v>248</v>
      </c>
      <c r="B225" s="8" t="s">
        <v>15</v>
      </c>
      <c r="C225" s="65">
        <v>630000</v>
      </c>
      <c r="D225" s="21">
        <v>0</v>
      </c>
      <c r="E225" s="67">
        <v>0</v>
      </c>
      <c r="F225" s="11">
        <v>0</v>
      </c>
      <c r="G225" s="9">
        <v>0</v>
      </c>
      <c r="H225" s="11">
        <v>0</v>
      </c>
      <c r="I225" s="9">
        <f t="shared" si="31"/>
        <v>0</v>
      </c>
      <c r="J225" s="12">
        <f t="shared" si="32"/>
        <v>0</v>
      </c>
      <c r="K225" s="9">
        <f t="shared" si="33"/>
        <v>0</v>
      </c>
    </row>
    <row r="226" spans="1:11" s="22" customFormat="1" x14ac:dyDescent="0.2">
      <c r="A226" s="64" t="s">
        <v>249</v>
      </c>
      <c r="B226" s="24" t="s">
        <v>15</v>
      </c>
      <c r="C226" s="64">
        <v>240000</v>
      </c>
      <c r="D226" s="21">
        <v>0</v>
      </c>
      <c r="E226" s="68">
        <f t="shared" si="29"/>
        <v>0</v>
      </c>
      <c r="F226" s="11">
        <v>0</v>
      </c>
      <c r="G226" s="16">
        <f t="shared" si="30"/>
        <v>0</v>
      </c>
      <c r="H226" s="11">
        <v>0</v>
      </c>
      <c r="I226" s="16">
        <f t="shared" si="31"/>
        <v>0</v>
      </c>
      <c r="J226" s="6">
        <f t="shared" si="32"/>
        <v>0</v>
      </c>
      <c r="K226" s="16">
        <f t="shared" si="33"/>
        <v>0</v>
      </c>
    </row>
    <row r="227" spans="1:11" s="22" customFormat="1" x14ac:dyDescent="0.2">
      <c r="A227" s="64" t="s">
        <v>250</v>
      </c>
      <c r="B227" s="24" t="s">
        <v>15</v>
      </c>
      <c r="C227" s="64">
        <v>125000</v>
      </c>
      <c r="D227" s="21">
        <v>0</v>
      </c>
      <c r="E227" s="68">
        <f t="shared" si="29"/>
        <v>0</v>
      </c>
      <c r="F227" s="11">
        <v>0</v>
      </c>
      <c r="G227" s="16">
        <f t="shared" si="30"/>
        <v>0</v>
      </c>
      <c r="H227" s="11">
        <v>0</v>
      </c>
      <c r="I227" s="16">
        <f t="shared" si="31"/>
        <v>0</v>
      </c>
      <c r="J227" s="6">
        <f t="shared" si="32"/>
        <v>0</v>
      </c>
      <c r="K227" s="16">
        <f t="shared" si="33"/>
        <v>0</v>
      </c>
    </row>
    <row r="228" spans="1:11" s="22" customFormat="1" x14ac:dyDescent="0.2">
      <c r="A228" s="65" t="s">
        <v>251</v>
      </c>
      <c r="B228" s="8" t="s">
        <v>15</v>
      </c>
      <c r="C228" s="65">
        <v>135000</v>
      </c>
      <c r="D228" s="21">
        <v>0</v>
      </c>
      <c r="E228" s="69">
        <f t="shared" si="29"/>
        <v>0</v>
      </c>
      <c r="F228" s="11">
        <v>0</v>
      </c>
      <c r="G228" s="9">
        <v>0</v>
      </c>
      <c r="H228" s="11">
        <v>0</v>
      </c>
      <c r="I228" s="9">
        <f t="shared" si="31"/>
        <v>0</v>
      </c>
      <c r="J228" s="12">
        <f t="shared" si="32"/>
        <v>0</v>
      </c>
      <c r="K228" s="9">
        <f t="shared" si="33"/>
        <v>0</v>
      </c>
    </row>
    <row r="229" spans="1:11" s="22" customFormat="1" x14ac:dyDescent="0.2">
      <c r="A229" s="65" t="s">
        <v>252</v>
      </c>
      <c r="B229" s="8" t="s">
        <v>15</v>
      </c>
      <c r="C229" s="65">
        <v>88000</v>
      </c>
      <c r="D229" s="21">
        <v>0</v>
      </c>
      <c r="E229" s="69">
        <f t="shared" si="29"/>
        <v>0</v>
      </c>
      <c r="F229" s="11">
        <v>0</v>
      </c>
      <c r="G229" s="9">
        <f t="shared" si="30"/>
        <v>0</v>
      </c>
      <c r="H229" s="11">
        <v>0</v>
      </c>
      <c r="I229" s="9">
        <f t="shared" si="31"/>
        <v>0</v>
      </c>
      <c r="J229" s="12">
        <f t="shared" si="32"/>
        <v>0</v>
      </c>
      <c r="K229" s="9">
        <f t="shared" si="33"/>
        <v>0</v>
      </c>
    </row>
    <row r="230" spans="1:11" s="73" customFormat="1" ht="25.5" x14ac:dyDescent="0.25">
      <c r="A230" s="45" t="s">
        <v>253</v>
      </c>
      <c r="B230" s="11" t="s">
        <v>15</v>
      </c>
      <c r="C230" s="19">
        <v>41000</v>
      </c>
      <c r="D230" s="23">
        <v>1</v>
      </c>
      <c r="E230" s="70">
        <f t="shared" si="29"/>
        <v>41000</v>
      </c>
      <c r="F230" s="11">
        <v>0</v>
      </c>
      <c r="G230" s="71">
        <f t="shared" si="30"/>
        <v>0</v>
      </c>
      <c r="H230" s="11">
        <v>0</v>
      </c>
      <c r="I230" s="71">
        <f t="shared" si="31"/>
        <v>0</v>
      </c>
      <c r="J230" s="72">
        <f t="shared" si="32"/>
        <v>1</v>
      </c>
      <c r="K230" s="71">
        <f t="shared" si="33"/>
        <v>41000</v>
      </c>
    </row>
    <row r="231" spans="1:11" s="22" customFormat="1" x14ac:dyDescent="0.2">
      <c r="A231" s="14" t="s">
        <v>254</v>
      </c>
      <c r="B231" s="15" t="s">
        <v>62</v>
      </c>
      <c r="C231" s="16">
        <v>85000</v>
      </c>
      <c r="D231" s="21">
        <v>0</v>
      </c>
      <c r="E231" s="68">
        <f t="shared" si="29"/>
        <v>0</v>
      </c>
      <c r="F231" s="11">
        <v>0</v>
      </c>
      <c r="G231" s="16">
        <f>F231*C231</f>
        <v>0</v>
      </c>
      <c r="H231" s="11">
        <v>0</v>
      </c>
      <c r="I231" s="16">
        <f t="shared" si="31"/>
        <v>0</v>
      </c>
      <c r="J231" s="6">
        <f t="shared" si="32"/>
        <v>0</v>
      </c>
      <c r="K231" s="16">
        <f t="shared" si="33"/>
        <v>0</v>
      </c>
    </row>
    <row r="232" spans="1:11" s="22" customFormat="1" x14ac:dyDescent="0.2">
      <c r="A232" s="14" t="s">
        <v>255</v>
      </c>
      <c r="B232" s="15" t="s">
        <v>15</v>
      </c>
      <c r="C232" s="16">
        <v>12500</v>
      </c>
      <c r="D232" s="21">
        <v>17</v>
      </c>
      <c r="E232" s="68">
        <f t="shared" si="29"/>
        <v>212500</v>
      </c>
      <c r="F232" s="21">
        <v>10</v>
      </c>
      <c r="G232" s="16">
        <f t="shared" ref="G232:G272" si="34">F232*C232</f>
        <v>125000</v>
      </c>
      <c r="H232" s="11">
        <v>0</v>
      </c>
      <c r="I232" s="16">
        <f t="shared" si="31"/>
        <v>0</v>
      </c>
      <c r="J232" s="6">
        <f t="shared" si="32"/>
        <v>27</v>
      </c>
      <c r="K232" s="16">
        <f t="shared" si="33"/>
        <v>337500</v>
      </c>
    </row>
    <row r="233" spans="1:11" s="22" customFormat="1" x14ac:dyDescent="0.2">
      <c r="A233" s="14" t="s">
        <v>256</v>
      </c>
      <c r="B233" s="15" t="s">
        <v>15</v>
      </c>
      <c r="C233" s="16">
        <v>35000</v>
      </c>
      <c r="D233" s="21">
        <v>2</v>
      </c>
      <c r="E233" s="68">
        <f t="shared" si="29"/>
        <v>70000</v>
      </c>
      <c r="F233" s="11">
        <v>0</v>
      </c>
      <c r="G233" s="16">
        <f t="shared" si="34"/>
        <v>0</v>
      </c>
      <c r="H233" s="11">
        <v>0</v>
      </c>
      <c r="I233" s="16">
        <f t="shared" si="31"/>
        <v>0</v>
      </c>
      <c r="J233" s="6">
        <f t="shared" si="32"/>
        <v>2</v>
      </c>
      <c r="K233" s="16">
        <f t="shared" si="33"/>
        <v>70000</v>
      </c>
    </row>
    <row r="234" spans="1:11" s="22" customFormat="1" x14ac:dyDescent="0.2">
      <c r="A234" s="14" t="s">
        <v>257</v>
      </c>
      <c r="B234" s="15" t="s">
        <v>62</v>
      </c>
      <c r="C234" s="16">
        <v>40000</v>
      </c>
      <c r="D234" s="21">
        <v>5</v>
      </c>
      <c r="E234" s="68">
        <f t="shared" si="29"/>
        <v>200000</v>
      </c>
      <c r="F234" s="11">
        <v>4</v>
      </c>
      <c r="G234" s="16">
        <f t="shared" si="34"/>
        <v>160000</v>
      </c>
      <c r="H234" s="11">
        <v>0</v>
      </c>
      <c r="I234" s="16">
        <f t="shared" si="31"/>
        <v>0</v>
      </c>
      <c r="J234" s="6">
        <f t="shared" si="32"/>
        <v>9</v>
      </c>
      <c r="K234" s="16">
        <f t="shared" si="33"/>
        <v>360000</v>
      </c>
    </row>
    <row r="235" spans="1:11" s="22" customFormat="1" x14ac:dyDescent="0.2">
      <c r="A235" s="14" t="s">
        <v>258</v>
      </c>
      <c r="B235" s="15" t="s">
        <v>62</v>
      </c>
      <c r="C235" s="16">
        <v>320000</v>
      </c>
      <c r="D235" s="21">
        <v>1</v>
      </c>
      <c r="E235" s="68">
        <f t="shared" si="29"/>
        <v>320000</v>
      </c>
      <c r="F235" s="11">
        <v>0</v>
      </c>
      <c r="G235" s="16">
        <f t="shared" si="34"/>
        <v>0</v>
      </c>
      <c r="H235" s="11">
        <v>0</v>
      </c>
      <c r="I235" s="16">
        <f t="shared" si="31"/>
        <v>0</v>
      </c>
      <c r="J235" s="6">
        <f t="shared" si="32"/>
        <v>1</v>
      </c>
      <c r="K235" s="16">
        <f t="shared" si="33"/>
        <v>320000</v>
      </c>
    </row>
    <row r="236" spans="1:11" s="1" customFormat="1" x14ac:dyDescent="0.2">
      <c r="A236" s="7" t="s">
        <v>259</v>
      </c>
      <c r="B236" s="15" t="s">
        <v>15</v>
      </c>
      <c r="C236" s="16">
        <v>30000</v>
      </c>
      <c r="D236" s="14">
        <v>5</v>
      </c>
      <c r="E236" s="68">
        <f t="shared" si="29"/>
        <v>150000</v>
      </c>
      <c r="F236" s="21">
        <v>3</v>
      </c>
      <c r="G236" s="16">
        <f t="shared" si="34"/>
        <v>90000</v>
      </c>
      <c r="H236" s="11">
        <v>0</v>
      </c>
      <c r="I236" s="16">
        <f t="shared" si="31"/>
        <v>0</v>
      </c>
      <c r="J236" s="6">
        <f t="shared" si="32"/>
        <v>8</v>
      </c>
      <c r="K236" s="16">
        <f t="shared" si="33"/>
        <v>240000</v>
      </c>
    </row>
    <row r="237" spans="1:11" s="1" customFormat="1" x14ac:dyDescent="0.2">
      <c r="A237" s="7" t="s">
        <v>260</v>
      </c>
      <c r="B237" s="15" t="s">
        <v>62</v>
      </c>
      <c r="C237" s="16">
        <v>14000</v>
      </c>
      <c r="D237" s="14">
        <v>0</v>
      </c>
      <c r="E237" s="68">
        <f t="shared" si="29"/>
        <v>0</v>
      </c>
      <c r="F237" s="21">
        <v>0</v>
      </c>
      <c r="G237" s="16">
        <f t="shared" si="34"/>
        <v>0</v>
      </c>
      <c r="H237" s="11">
        <v>0</v>
      </c>
      <c r="I237" s="16">
        <v>0</v>
      </c>
      <c r="J237" s="6">
        <f t="shared" si="32"/>
        <v>0</v>
      </c>
      <c r="K237" s="16">
        <f t="shared" si="33"/>
        <v>0</v>
      </c>
    </row>
    <row r="238" spans="1:11" s="1" customFormat="1" x14ac:dyDescent="0.2">
      <c r="A238" s="14" t="s">
        <v>261</v>
      </c>
      <c r="B238" s="15" t="s">
        <v>62</v>
      </c>
      <c r="C238" s="16">
        <v>30000</v>
      </c>
      <c r="D238" s="14">
        <v>0</v>
      </c>
      <c r="E238" s="68">
        <f t="shared" si="29"/>
        <v>0</v>
      </c>
      <c r="F238" s="21">
        <v>0</v>
      </c>
      <c r="G238" s="16">
        <f t="shared" si="34"/>
        <v>0</v>
      </c>
      <c r="H238" s="11">
        <v>0</v>
      </c>
      <c r="I238" s="16">
        <f t="shared" si="31"/>
        <v>0</v>
      </c>
      <c r="J238" s="6">
        <f t="shared" si="32"/>
        <v>0</v>
      </c>
      <c r="K238" s="16">
        <f t="shared" si="33"/>
        <v>0</v>
      </c>
    </row>
    <row r="239" spans="1:11" s="1" customFormat="1" x14ac:dyDescent="0.2">
      <c r="A239" s="14" t="s">
        <v>262</v>
      </c>
      <c r="B239" s="15" t="s">
        <v>62</v>
      </c>
      <c r="C239" s="16">
        <v>15000</v>
      </c>
      <c r="D239" s="14">
        <v>0</v>
      </c>
      <c r="E239" s="68">
        <f t="shared" si="29"/>
        <v>0</v>
      </c>
      <c r="F239" s="21">
        <v>0</v>
      </c>
      <c r="G239" s="16">
        <f t="shared" si="34"/>
        <v>0</v>
      </c>
      <c r="H239" s="11">
        <v>0</v>
      </c>
      <c r="I239" s="16">
        <f t="shared" si="31"/>
        <v>0</v>
      </c>
      <c r="J239" s="6">
        <f t="shared" si="32"/>
        <v>0</v>
      </c>
      <c r="K239" s="16">
        <f t="shared" si="33"/>
        <v>0</v>
      </c>
    </row>
    <row r="240" spans="1:11" s="1" customFormat="1" x14ac:dyDescent="0.2">
      <c r="A240" s="14" t="s">
        <v>263</v>
      </c>
      <c r="B240" s="15" t="s">
        <v>15</v>
      </c>
      <c r="C240" s="16">
        <v>20000</v>
      </c>
      <c r="D240" s="14">
        <v>0</v>
      </c>
      <c r="E240" s="68">
        <f t="shared" si="29"/>
        <v>0</v>
      </c>
      <c r="F240" s="21">
        <v>0</v>
      </c>
      <c r="G240" s="16">
        <f t="shared" si="34"/>
        <v>0</v>
      </c>
      <c r="H240" s="11">
        <v>0</v>
      </c>
      <c r="I240" s="16">
        <f t="shared" si="31"/>
        <v>0</v>
      </c>
      <c r="J240" s="6">
        <f t="shared" si="32"/>
        <v>0</v>
      </c>
      <c r="K240" s="16">
        <f t="shared" si="33"/>
        <v>0</v>
      </c>
    </row>
    <row r="241" spans="1:11" s="1" customFormat="1" x14ac:dyDescent="0.2">
      <c r="A241" s="14" t="s">
        <v>264</v>
      </c>
      <c r="B241" s="15" t="s">
        <v>62</v>
      </c>
      <c r="C241" s="16">
        <v>80000</v>
      </c>
      <c r="D241" s="14">
        <v>0</v>
      </c>
      <c r="E241" s="68">
        <f t="shared" si="29"/>
        <v>0</v>
      </c>
      <c r="F241" s="11">
        <v>0</v>
      </c>
      <c r="G241" s="16">
        <f t="shared" si="34"/>
        <v>0</v>
      </c>
      <c r="H241" s="11">
        <v>0</v>
      </c>
      <c r="I241" s="16">
        <f t="shared" si="31"/>
        <v>0</v>
      </c>
      <c r="J241" s="6">
        <f t="shared" si="32"/>
        <v>0</v>
      </c>
      <c r="K241" s="16">
        <f t="shared" si="33"/>
        <v>0</v>
      </c>
    </row>
    <row r="242" spans="1:11" s="1" customFormat="1" x14ac:dyDescent="0.2">
      <c r="A242" s="14" t="s">
        <v>265</v>
      </c>
      <c r="B242" s="15" t="s">
        <v>15</v>
      </c>
      <c r="C242" s="16">
        <v>50000</v>
      </c>
      <c r="D242" s="14">
        <v>0</v>
      </c>
      <c r="E242" s="68">
        <f t="shared" si="29"/>
        <v>0</v>
      </c>
      <c r="F242" s="11">
        <v>0</v>
      </c>
      <c r="G242" s="16">
        <f t="shared" si="34"/>
        <v>0</v>
      </c>
      <c r="H242" s="11">
        <v>0</v>
      </c>
      <c r="I242" s="16">
        <f t="shared" si="31"/>
        <v>0</v>
      </c>
      <c r="J242" s="6">
        <f t="shared" si="32"/>
        <v>0</v>
      </c>
      <c r="K242" s="16">
        <f t="shared" si="33"/>
        <v>0</v>
      </c>
    </row>
    <row r="243" spans="1:11" s="1" customFormat="1" x14ac:dyDescent="0.2">
      <c r="A243" s="14" t="s">
        <v>266</v>
      </c>
      <c r="B243" s="15" t="s">
        <v>62</v>
      </c>
      <c r="C243" s="16">
        <v>25000</v>
      </c>
      <c r="D243" s="14">
        <v>0</v>
      </c>
      <c r="E243" s="68">
        <f t="shared" si="29"/>
        <v>0</v>
      </c>
      <c r="F243" s="21">
        <v>0</v>
      </c>
      <c r="G243" s="16">
        <f t="shared" si="34"/>
        <v>0</v>
      </c>
      <c r="H243" s="11">
        <v>0</v>
      </c>
      <c r="I243" s="16">
        <f t="shared" si="31"/>
        <v>0</v>
      </c>
      <c r="J243" s="6">
        <f t="shared" si="32"/>
        <v>0</v>
      </c>
      <c r="K243" s="16">
        <f t="shared" si="33"/>
        <v>0</v>
      </c>
    </row>
    <row r="244" spans="1:11" s="1" customFormat="1" x14ac:dyDescent="0.2">
      <c r="A244" s="7" t="s">
        <v>267</v>
      </c>
      <c r="B244" s="8" t="s">
        <v>15</v>
      </c>
      <c r="C244" s="9">
        <v>15000</v>
      </c>
      <c r="D244" s="14">
        <v>0</v>
      </c>
      <c r="E244" s="69">
        <f t="shared" si="29"/>
        <v>0</v>
      </c>
      <c r="F244" s="11">
        <v>0</v>
      </c>
      <c r="G244" s="16">
        <f t="shared" si="34"/>
        <v>0</v>
      </c>
      <c r="H244" s="11">
        <v>0</v>
      </c>
      <c r="I244" s="9">
        <f t="shared" si="31"/>
        <v>0</v>
      </c>
      <c r="J244" s="12">
        <f t="shared" si="32"/>
        <v>0</v>
      </c>
      <c r="K244" s="9">
        <f t="shared" si="33"/>
        <v>0</v>
      </c>
    </row>
    <row r="245" spans="1:11" s="1" customFormat="1" x14ac:dyDescent="0.2">
      <c r="A245" s="7" t="s">
        <v>268</v>
      </c>
      <c r="B245" s="15" t="s">
        <v>62</v>
      </c>
      <c r="C245" s="16">
        <v>25000</v>
      </c>
      <c r="D245" s="14">
        <v>30</v>
      </c>
      <c r="E245" s="68">
        <f t="shared" si="29"/>
        <v>750000</v>
      </c>
      <c r="F245" s="11">
        <v>0</v>
      </c>
      <c r="G245" s="16">
        <f t="shared" si="34"/>
        <v>0</v>
      </c>
      <c r="H245" s="11"/>
      <c r="I245" s="16">
        <f t="shared" si="31"/>
        <v>0</v>
      </c>
      <c r="J245" s="6">
        <f t="shared" si="32"/>
        <v>30</v>
      </c>
      <c r="K245" s="16">
        <f t="shared" si="33"/>
        <v>750000</v>
      </c>
    </row>
    <row r="246" spans="1:11" s="1" customFormat="1" x14ac:dyDescent="0.2">
      <c r="A246" s="7" t="s">
        <v>269</v>
      </c>
      <c r="B246" s="15" t="s">
        <v>62</v>
      </c>
      <c r="C246" s="16">
        <v>17500</v>
      </c>
      <c r="D246" s="14">
        <v>0</v>
      </c>
      <c r="E246" s="68">
        <f t="shared" si="29"/>
        <v>0</v>
      </c>
      <c r="F246" s="11">
        <v>0</v>
      </c>
      <c r="G246" s="16">
        <f t="shared" si="34"/>
        <v>0</v>
      </c>
      <c r="H246" s="11">
        <v>0</v>
      </c>
      <c r="I246" s="16">
        <f t="shared" si="31"/>
        <v>0</v>
      </c>
      <c r="J246" s="6">
        <f t="shared" si="32"/>
        <v>0</v>
      </c>
      <c r="K246" s="16">
        <f t="shared" si="33"/>
        <v>0</v>
      </c>
    </row>
    <row r="247" spans="1:11" s="1" customFormat="1" x14ac:dyDescent="0.2">
      <c r="A247" s="7" t="s">
        <v>270</v>
      </c>
      <c r="B247" s="15" t="s">
        <v>62</v>
      </c>
      <c r="C247" s="16">
        <v>150000</v>
      </c>
      <c r="D247" s="14">
        <v>0</v>
      </c>
      <c r="E247" s="68">
        <f t="shared" si="29"/>
        <v>0</v>
      </c>
      <c r="F247" s="21">
        <v>0</v>
      </c>
      <c r="G247" s="16">
        <f t="shared" si="34"/>
        <v>0</v>
      </c>
      <c r="H247" s="11">
        <v>0</v>
      </c>
      <c r="I247" s="16">
        <f t="shared" si="31"/>
        <v>0</v>
      </c>
      <c r="J247" s="6">
        <f t="shared" si="32"/>
        <v>0</v>
      </c>
      <c r="K247" s="16">
        <f t="shared" si="33"/>
        <v>0</v>
      </c>
    </row>
    <row r="248" spans="1:11" s="1" customFormat="1" x14ac:dyDescent="0.2">
      <c r="A248" s="7" t="s">
        <v>271</v>
      </c>
      <c r="B248" s="15" t="s">
        <v>62</v>
      </c>
      <c r="C248" s="16">
        <v>30000</v>
      </c>
      <c r="D248" s="14">
        <v>0</v>
      </c>
      <c r="E248" s="68">
        <f t="shared" si="29"/>
        <v>0</v>
      </c>
      <c r="F248" s="21">
        <v>0</v>
      </c>
      <c r="G248" s="16">
        <f t="shared" si="34"/>
        <v>0</v>
      </c>
      <c r="H248" s="11">
        <v>0</v>
      </c>
      <c r="I248" s="16">
        <f t="shared" si="31"/>
        <v>0</v>
      </c>
      <c r="J248" s="6">
        <f t="shared" si="32"/>
        <v>0</v>
      </c>
      <c r="K248" s="16">
        <f t="shared" si="33"/>
        <v>0</v>
      </c>
    </row>
    <row r="249" spans="1:11" s="1" customFormat="1" x14ac:dyDescent="0.2">
      <c r="A249" s="14" t="s">
        <v>272</v>
      </c>
      <c r="B249" s="15" t="s">
        <v>62</v>
      </c>
      <c r="C249" s="16">
        <v>48000</v>
      </c>
      <c r="D249" s="14">
        <v>0</v>
      </c>
      <c r="E249" s="68">
        <f t="shared" si="29"/>
        <v>0</v>
      </c>
      <c r="F249" s="21">
        <v>0</v>
      </c>
      <c r="G249" s="16">
        <f t="shared" si="34"/>
        <v>0</v>
      </c>
      <c r="H249" s="11">
        <v>0</v>
      </c>
      <c r="I249" s="16">
        <f t="shared" si="31"/>
        <v>0</v>
      </c>
      <c r="J249" s="6">
        <f t="shared" si="32"/>
        <v>0</v>
      </c>
      <c r="K249" s="16">
        <f t="shared" si="33"/>
        <v>0</v>
      </c>
    </row>
    <row r="250" spans="1:11" s="1" customFormat="1" x14ac:dyDescent="0.2">
      <c r="A250" s="14" t="s">
        <v>273</v>
      </c>
      <c r="B250" s="15" t="s">
        <v>62</v>
      </c>
      <c r="C250" s="16">
        <v>37500</v>
      </c>
      <c r="D250" s="14">
        <v>0</v>
      </c>
      <c r="E250" s="68">
        <f t="shared" si="29"/>
        <v>0</v>
      </c>
      <c r="F250" s="21">
        <v>0</v>
      </c>
      <c r="G250" s="16">
        <f t="shared" si="34"/>
        <v>0</v>
      </c>
      <c r="H250" s="11">
        <v>2</v>
      </c>
      <c r="I250" s="16">
        <f t="shared" si="31"/>
        <v>75000</v>
      </c>
      <c r="J250" s="6">
        <f t="shared" si="32"/>
        <v>-2</v>
      </c>
      <c r="K250" s="16">
        <f t="shared" si="33"/>
        <v>-75000</v>
      </c>
    </row>
    <row r="251" spans="1:11" s="1" customFormat="1" x14ac:dyDescent="0.2">
      <c r="A251" s="14" t="s">
        <v>274</v>
      </c>
      <c r="B251" s="15" t="s">
        <v>15</v>
      </c>
      <c r="C251" s="16">
        <v>30000</v>
      </c>
      <c r="D251" s="14">
        <v>2</v>
      </c>
      <c r="E251" s="68">
        <f t="shared" si="29"/>
        <v>60000</v>
      </c>
      <c r="F251" s="11">
        <v>0</v>
      </c>
      <c r="G251" s="16">
        <f t="shared" si="34"/>
        <v>0</v>
      </c>
      <c r="H251" s="11">
        <v>0</v>
      </c>
      <c r="I251" s="16">
        <f t="shared" si="31"/>
        <v>0</v>
      </c>
      <c r="J251" s="6">
        <f t="shared" si="32"/>
        <v>2</v>
      </c>
      <c r="K251" s="16">
        <f t="shared" si="33"/>
        <v>60000</v>
      </c>
    </row>
    <row r="252" spans="1:11" s="1" customFormat="1" x14ac:dyDescent="0.2">
      <c r="A252" s="14" t="s">
        <v>275</v>
      </c>
      <c r="B252" s="15" t="s">
        <v>62</v>
      </c>
      <c r="C252" s="16">
        <v>7000</v>
      </c>
      <c r="D252" s="14">
        <v>3</v>
      </c>
      <c r="E252" s="68">
        <f t="shared" si="29"/>
        <v>21000</v>
      </c>
      <c r="F252" s="11">
        <v>0</v>
      </c>
      <c r="G252" s="16">
        <f t="shared" si="34"/>
        <v>0</v>
      </c>
      <c r="H252" s="11">
        <v>0</v>
      </c>
      <c r="I252" s="16">
        <f t="shared" si="31"/>
        <v>0</v>
      </c>
      <c r="J252" s="6">
        <f t="shared" si="32"/>
        <v>3</v>
      </c>
      <c r="K252" s="16">
        <f t="shared" si="33"/>
        <v>21000</v>
      </c>
    </row>
    <row r="253" spans="1:11" s="1" customFormat="1" x14ac:dyDescent="0.2">
      <c r="A253" s="14" t="s">
        <v>276</v>
      </c>
      <c r="B253" s="15" t="s">
        <v>15</v>
      </c>
      <c r="C253" s="16">
        <v>10000</v>
      </c>
      <c r="D253" s="14">
        <v>0</v>
      </c>
      <c r="E253" s="68">
        <f t="shared" si="29"/>
        <v>0</v>
      </c>
      <c r="F253" s="11">
        <v>0</v>
      </c>
      <c r="G253" s="16">
        <f t="shared" si="34"/>
        <v>0</v>
      </c>
      <c r="H253" s="11">
        <v>0</v>
      </c>
      <c r="I253" s="16">
        <f t="shared" si="31"/>
        <v>0</v>
      </c>
      <c r="J253" s="6">
        <f t="shared" si="32"/>
        <v>0</v>
      </c>
      <c r="K253" s="16">
        <f t="shared" si="33"/>
        <v>0</v>
      </c>
    </row>
    <row r="254" spans="1:11" s="1" customFormat="1" x14ac:dyDescent="0.2">
      <c r="A254" s="14" t="s">
        <v>277</v>
      </c>
      <c r="B254" s="15" t="s">
        <v>17</v>
      </c>
      <c r="C254" s="16">
        <v>25000</v>
      </c>
      <c r="D254" s="14">
        <v>0</v>
      </c>
      <c r="E254" s="68">
        <f t="shared" si="29"/>
        <v>0</v>
      </c>
      <c r="F254" s="11">
        <v>0</v>
      </c>
      <c r="G254" s="16">
        <f t="shared" si="34"/>
        <v>0</v>
      </c>
      <c r="H254" s="11">
        <v>0</v>
      </c>
      <c r="I254" s="16">
        <f t="shared" si="31"/>
        <v>0</v>
      </c>
      <c r="J254" s="6">
        <f t="shared" si="32"/>
        <v>0</v>
      </c>
      <c r="K254" s="16">
        <f t="shared" si="33"/>
        <v>0</v>
      </c>
    </row>
    <row r="255" spans="1:11" s="1" customFormat="1" x14ac:dyDescent="0.2">
      <c r="A255" s="29" t="s">
        <v>278</v>
      </c>
      <c r="B255" s="15" t="s">
        <v>279</v>
      </c>
      <c r="C255" s="16">
        <v>35000</v>
      </c>
      <c r="D255" s="14">
        <v>2</v>
      </c>
      <c r="E255" s="74">
        <f>D255*C255</f>
        <v>70000</v>
      </c>
      <c r="F255" s="11">
        <v>0</v>
      </c>
      <c r="G255" s="16">
        <f t="shared" si="34"/>
        <v>0</v>
      </c>
      <c r="H255" s="11">
        <v>0</v>
      </c>
      <c r="I255" s="16">
        <f t="shared" si="31"/>
        <v>0</v>
      </c>
      <c r="J255" s="6">
        <f t="shared" si="32"/>
        <v>2</v>
      </c>
      <c r="K255" s="16">
        <f t="shared" si="33"/>
        <v>70000</v>
      </c>
    </row>
    <row r="256" spans="1:11" s="1" customFormat="1" x14ac:dyDescent="0.2">
      <c r="A256" s="29" t="s">
        <v>280</v>
      </c>
      <c r="B256" s="15" t="s">
        <v>62</v>
      </c>
      <c r="C256" s="16">
        <v>15000</v>
      </c>
      <c r="D256" s="14">
        <v>0</v>
      </c>
      <c r="E256" s="74">
        <f>D256*C256</f>
        <v>0</v>
      </c>
      <c r="F256" s="11">
        <v>0</v>
      </c>
      <c r="G256" s="16">
        <f t="shared" si="34"/>
        <v>0</v>
      </c>
      <c r="H256" s="11">
        <v>0</v>
      </c>
      <c r="I256" s="16">
        <f t="shared" si="31"/>
        <v>0</v>
      </c>
      <c r="J256" s="6">
        <f t="shared" si="32"/>
        <v>0</v>
      </c>
      <c r="K256" s="16">
        <f t="shared" si="33"/>
        <v>0</v>
      </c>
    </row>
    <row r="257" spans="1:11" s="1" customFormat="1" x14ac:dyDescent="0.2">
      <c r="A257" s="29" t="s">
        <v>281</v>
      </c>
      <c r="B257" s="15" t="s">
        <v>15</v>
      </c>
      <c r="C257" s="16">
        <v>35000</v>
      </c>
      <c r="D257" s="14">
        <v>0</v>
      </c>
      <c r="E257" s="74">
        <f t="shared" ref="E257:E272" si="35">D257*C257</f>
        <v>0</v>
      </c>
      <c r="F257" s="11">
        <v>0</v>
      </c>
      <c r="G257" s="16">
        <f t="shared" si="34"/>
        <v>0</v>
      </c>
      <c r="H257" s="11">
        <v>0</v>
      </c>
      <c r="I257" s="16">
        <f t="shared" si="31"/>
        <v>0</v>
      </c>
      <c r="J257" s="6">
        <f t="shared" si="32"/>
        <v>0</v>
      </c>
      <c r="K257" s="16">
        <f t="shared" si="33"/>
        <v>0</v>
      </c>
    </row>
    <row r="258" spans="1:11" s="1" customFormat="1" x14ac:dyDescent="0.2">
      <c r="A258" s="27" t="s">
        <v>282</v>
      </c>
      <c r="B258" s="15" t="s">
        <v>15</v>
      </c>
      <c r="C258" s="16">
        <v>650000</v>
      </c>
      <c r="D258" s="14">
        <v>1</v>
      </c>
      <c r="E258" s="74">
        <f t="shared" si="35"/>
        <v>650000</v>
      </c>
      <c r="F258" s="11">
        <v>1</v>
      </c>
      <c r="G258" s="16">
        <f t="shared" si="34"/>
        <v>650000</v>
      </c>
      <c r="H258" s="11">
        <v>0</v>
      </c>
      <c r="I258" s="16">
        <f t="shared" si="31"/>
        <v>0</v>
      </c>
      <c r="J258" s="6">
        <f t="shared" si="32"/>
        <v>2</v>
      </c>
      <c r="K258" s="16">
        <f t="shared" si="33"/>
        <v>1300000</v>
      </c>
    </row>
    <row r="259" spans="1:11" s="1" customFormat="1" x14ac:dyDescent="0.2">
      <c r="A259" s="27" t="s">
        <v>283</v>
      </c>
      <c r="B259" s="15" t="s">
        <v>15</v>
      </c>
      <c r="C259" s="16">
        <v>300000</v>
      </c>
      <c r="D259" s="14">
        <v>0</v>
      </c>
      <c r="E259" s="74">
        <f t="shared" si="35"/>
        <v>0</v>
      </c>
      <c r="F259" s="11">
        <v>0</v>
      </c>
      <c r="G259" s="16">
        <f t="shared" si="34"/>
        <v>0</v>
      </c>
      <c r="H259" s="11">
        <v>0</v>
      </c>
      <c r="I259" s="16">
        <f t="shared" si="31"/>
        <v>0</v>
      </c>
      <c r="J259" s="6">
        <f t="shared" si="32"/>
        <v>0</v>
      </c>
      <c r="K259" s="16">
        <f t="shared" si="33"/>
        <v>0</v>
      </c>
    </row>
    <row r="260" spans="1:11" s="1" customFormat="1" x14ac:dyDescent="0.2">
      <c r="A260" s="27" t="s">
        <v>284</v>
      </c>
      <c r="B260" s="15" t="s">
        <v>15</v>
      </c>
      <c r="C260" s="16">
        <v>3500</v>
      </c>
      <c r="D260" s="14">
        <v>50</v>
      </c>
      <c r="E260" s="74">
        <f t="shared" si="35"/>
        <v>175000</v>
      </c>
      <c r="F260" s="11">
        <v>0</v>
      </c>
      <c r="G260" s="16">
        <f t="shared" si="34"/>
        <v>0</v>
      </c>
      <c r="H260" s="11">
        <v>0</v>
      </c>
      <c r="I260" s="16">
        <f t="shared" si="31"/>
        <v>0</v>
      </c>
      <c r="J260" s="6">
        <f t="shared" si="32"/>
        <v>50</v>
      </c>
      <c r="K260" s="16">
        <f t="shared" si="33"/>
        <v>175000</v>
      </c>
    </row>
    <row r="261" spans="1:11" s="1" customFormat="1" x14ac:dyDescent="0.2">
      <c r="A261" s="27" t="s">
        <v>285</v>
      </c>
      <c r="B261" s="15" t="s">
        <v>15</v>
      </c>
      <c r="C261" s="16">
        <v>60000</v>
      </c>
      <c r="D261" s="14">
        <v>0</v>
      </c>
      <c r="E261" s="74">
        <f t="shared" si="35"/>
        <v>0</v>
      </c>
      <c r="F261" s="11">
        <v>0</v>
      </c>
      <c r="G261" s="16">
        <f t="shared" si="34"/>
        <v>0</v>
      </c>
      <c r="H261" s="11">
        <v>0</v>
      </c>
      <c r="I261" s="16">
        <f t="shared" si="31"/>
        <v>0</v>
      </c>
      <c r="J261" s="6">
        <f t="shared" si="32"/>
        <v>0</v>
      </c>
      <c r="K261" s="16">
        <f t="shared" si="33"/>
        <v>0</v>
      </c>
    </row>
    <row r="262" spans="1:11" s="1" customFormat="1" x14ac:dyDescent="0.2">
      <c r="A262" s="27" t="s">
        <v>286</v>
      </c>
      <c r="B262" s="15" t="s">
        <v>15</v>
      </c>
      <c r="C262" s="16">
        <v>600000</v>
      </c>
      <c r="D262" s="14">
        <v>0</v>
      </c>
      <c r="E262" s="74">
        <f t="shared" si="35"/>
        <v>0</v>
      </c>
      <c r="F262" s="11">
        <v>0</v>
      </c>
      <c r="G262" s="16">
        <f t="shared" si="34"/>
        <v>0</v>
      </c>
      <c r="H262" s="11">
        <v>0</v>
      </c>
      <c r="I262" s="16">
        <f t="shared" si="31"/>
        <v>0</v>
      </c>
      <c r="J262" s="6">
        <f t="shared" si="32"/>
        <v>0</v>
      </c>
      <c r="K262" s="16">
        <f t="shared" si="33"/>
        <v>0</v>
      </c>
    </row>
    <row r="263" spans="1:11" s="1" customFormat="1" x14ac:dyDescent="0.2">
      <c r="A263" s="58" t="s">
        <v>287</v>
      </c>
      <c r="B263" s="15" t="s">
        <v>15</v>
      </c>
      <c r="C263" s="16">
        <v>250000</v>
      </c>
      <c r="D263" s="14">
        <v>0</v>
      </c>
      <c r="E263" s="74">
        <f t="shared" si="35"/>
        <v>0</v>
      </c>
      <c r="F263" s="11">
        <v>0</v>
      </c>
      <c r="G263" s="16">
        <f t="shared" si="34"/>
        <v>0</v>
      </c>
      <c r="H263" s="11">
        <v>0</v>
      </c>
      <c r="I263" s="16">
        <f t="shared" si="31"/>
        <v>0</v>
      </c>
      <c r="J263" s="6">
        <f t="shared" si="32"/>
        <v>0</v>
      </c>
      <c r="K263" s="16">
        <f>J263*C263</f>
        <v>0</v>
      </c>
    </row>
    <row r="264" spans="1:11" s="1" customFormat="1" x14ac:dyDescent="0.2">
      <c r="A264" s="58" t="s">
        <v>288</v>
      </c>
      <c r="B264" s="15" t="s">
        <v>15</v>
      </c>
      <c r="C264" s="16">
        <v>380000</v>
      </c>
      <c r="D264" s="14">
        <v>0</v>
      </c>
      <c r="E264" s="28">
        <f t="shared" si="35"/>
        <v>0</v>
      </c>
      <c r="F264" s="11">
        <v>0</v>
      </c>
      <c r="G264" s="16">
        <f t="shared" si="34"/>
        <v>0</v>
      </c>
      <c r="H264" s="11">
        <v>0</v>
      </c>
      <c r="I264" s="16">
        <f t="shared" si="31"/>
        <v>0</v>
      </c>
      <c r="J264" s="6">
        <f t="shared" si="32"/>
        <v>0</v>
      </c>
      <c r="K264" s="16">
        <f t="shared" si="33"/>
        <v>0</v>
      </c>
    </row>
    <row r="265" spans="1:11" s="1" customFormat="1" x14ac:dyDescent="0.2">
      <c r="A265" s="58" t="s">
        <v>289</v>
      </c>
      <c r="B265" s="15" t="s">
        <v>15</v>
      </c>
      <c r="C265" s="16">
        <v>50000</v>
      </c>
      <c r="D265" s="14">
        <v>0</v>
      </c>
      <c r="E265" s="28">
        <f t="shared" si="35"/>
        <v>0</v>
      </c>
      <c r="F265" s="11">
        <v>0</v>
      </c>
      <c r="G265" s="16">
        <f t="shared" si="34"/>
        <v>0</v>
      </c>
      <c r="H265" s="11">
        <v>0</v>
      </c>
      <c r="I265" s="16">
        <f t="shared" si="31"/>
        <v>0</v>
      </c>
      <c r="J265" s="6">
        <f t="shared" si="32"/>
        <v>0</v>
      </c>
      <c r="K265" s="16">
        <f t="shared" si="33"/>
        <v>0</v>
      </c>
    </row>
    <row r="266" spans="1:11" s="75" customFormat="1" x14ac:dyDescent="0.2">
      <c r="A266" s="58" t="s">
        <v>290</v>
      </c>
      <c r="B266" s="15" t="s">
        <v>291</v>
      </c>
      <c r="C266" s="16">
        <v>5000</v>
      </c>
      <c r="D266" s="14">
        <v>0</v>
      </c>
      <c r="E266" s="28">
        <f t="shared" si="35"/>
        <v>0</v>
      </c>
      <c r="F266" s="11">
        <v>0</v>
      </c>
      <c r="G266" s="16">
        <f t="shared" si="34"/>
        <v>0</v>
      </c>
      <c r="H266" s="11">
        <v>0</v>
      </c>
      <c r="I266" s="16">
        <f t="shared" si="31"/>
        <v>0</v>
      </c>
      <c r="J266" s="6">
        <f t="shared" si="32"/>
        <v>0</v>
      </c>
      <c r="K266" s="16">
        <f t="shared" si="33"/>
        <v>0</v>
      </c>
    </row>
    <row r="267" spans="1:11" s="1" customFormat="1" x14ac:dyDescent="0.2">
      <c r="A267" s="58" t="s">
        <v>292</v>
      </c>
      <c r="B267" s="15" t="s">
        <v>15</v>
      </c>
      <c r="C267" s="16">
        <v>30000</v>
      </c>
      <c r="D267" s="14">
        <v>0</v>
      </c>
      <c r="E267" s="28">
        <f t="shared" si="35"/>
        <v>0</v>
      </c>
      <c r="F267" s="11">
        <v>0</v>
      </c>
      <c r="G267" s="16">
        <f t="shared" si="34"/>
        <v>0</v>
      </c>
      <c r="H267" s="11">
        <v>0</v>
      </c>
      <c r="I267" s="16">
        <f t="shared" si="31"/>
        <v>0</v>
      </c>
      <c r="J267" s="6">
        <f t="shared" si="32"/>
        <v>0</v>
      </c>
      <c r="K267" s="16">
        <f t="shared" si="33"/>
        <v>0</v>
      </c>
    </row>
    <row r="268" spans="1:11" s="1" customFormat="1" x14ac:dyDescent="0.2">
      <c r="A268" s="58" t="s">
        <v>293</v>
      </c>
      <c r="B268" s="15" t="s">
        <v>15</v>
      </c>
      <c r="C268" s="16">
        <v>15000</v>
      </c>
      <c r="D268" s="14">
        <v>8</v>
      </c>
      <c r="E268" s="28">
        <f t="shared" si="35"/>
        <v>120000</v>
      </c>
      <c r="F268" s="11">
        <v>5</v>
      </c>
      <c r="G268" s="16">
        <f t="shared" si="34"/>
        <v>75000</v>
      </c>
      <c r="H268" s="11">
        <v>0</v>
      </c>
      <c r="I268" s="16">
        <f t="shared" si="31"/>
        <v>0</v>
      </c>
      <c r="J268" s="6">
        <f t="shared" si="32"/>
        <v>13</v>
      </c>
      <c r="K268" s="16">
        <f t="shared" si="33"/>
        <v>195000</v>
      </c>
    </row>
    <row r="269" spans="1:11" s="1" customFormat="1" x14ac:dyDescent="0.2">
      <c r="A269" s="58" t="s">
        <v>294</v>
      </c>
      <c r="B269" s="15" t="s">
        <v>295</v>
      </c>
      <c r="C269" s="16">
        <v>60000</v>
      </c>
      <c r="D269" s="14">
        <v>0</v>
      </c>
      <c r="E269" s="74">
        <f t="shared" si="35"/>
        <v>0</v>
      </c>
      <c r="F269" s="11">
        <v>0</v>
      </c>
      <c r="G269" s="16">
        <f t="shared" si="34"/>
        <v>0</v>
      </c>
      <c r="H269" s="11">
        <v>0</v>
      </c>
      <c r="I269" s="16">
        <f t="shared" si="31"/>
        <v>0</v>
      </c>
      <c r="J269" s="6">
        <f t="shared" si="32"/>
        <v>0</v>
      </c>
      <c r="K269" s="16">
        <f t="shared" si="33"/>
        <v>0</v>
      </c>
    </row>
    <row r="270" spans="1:11" s="1" customFormat="1" x14ac:dyDescent="0.2">
      <c r="A270" s="76" t="s">
        <v>296</v>
      </c>
      <c r="B270" s="15" t="s">
        <v>15</v>
      </c>
      <c r="C270" s="16">
        <v>50000</v>
      </c>
      <c r="D270" s="14">
        <v>8</v>
      </c>
      <c r="E270" s="74">
        <f t="shared" si="35"/>
        <v>400000</v>
      </c>
      <c r="F270" s="11">
        <v>5</v>
      </c>
      <c r="G270" s="16">
        <f t="shared" si="34"/>
        <v>250000</v>
      </c>
      <c r="H270" s="11">
        <v>0</v>
      </c>
      <c r="I270" s="16">
        <f>H270*C270</f>
        <v>0</v>
      </c>
      <c r="J270" s="6">
        <f t="shared" si="32"/>
        <v>13</v>
      </c>
      <c r="K270" s="16">
        <f t="shared" si="33"/>
        <v>650000</v>
      </c>
    </row>
    <row r="271" spans="1:11" s="1" customFormat="1" x14ac:dyDescent="0.2">
      <c r="A271" s="76" t="s">
        <v>297</v>
      </c>
      <c r="B271" s="15" t="s">
        <v>62</v>
      </c>
      <c r="C271" s="16">
        <v>2500</v>
      </c>
      <c r="D271" s="14">
        <v>12</v>
      </c>
      <c r="E271" s="74">
        <f t="shared" si="35"/>
        <v>30000</v>
      </c>
      <c r="F271" s="11">
        <v>0</v>
      </c>
      <c r="G271" s="16">
        <f t="shared" si="34"/>
        <v>0</v>
      </c>
      <c r="H271" s="11">
        <v>0</v>
      </c>
      <c r="I271" s="16">
        <f>H271*C271</f>
        <v>0</v>
      </c>
      <c r="J271" s="6">
        <f t="shared" ref="J271" si="36">SUM(D271+F271)-H271</f>
        <v>12</v>
      </c>
      <c r="K271" s="16">
        <f t="shared" si="33"/>
        <v>30000</v>
      </c>
    </row>
    <row r="272" spans="1:11" s="1" customFormat="1" x14ac:dyDescent="0.2">
      <c r="A272" s="76" t="s">
        <v>298</v>
      </c>
      <c r="B272" s="15" t="s">
        <v>62</v>
      </c>
      <c r="C272" s="16">
        <v>20000</v>
      </c>
      <c r="D272" s="14">
        <v>7</v>
      </c>
      <c r="E272" s="74">
        <f t="shared" si="35"/>
        <v>140000</v>
      </c>
      <c r="F272" s="11">
        <v>5</v>
      </c>
      <c r="G272" s="16">
        <f t="shared" si="34"/>
        <v>100000</v>
      </c>
      <c r="H272" s="11">
        <v>0</v>
      </c>
      <c r="I272" s="16">
        <f>H272*C272</f>
        <v>0</v>
      </c>
      <c r="J272" s="6">
        <f t="shared" ref="J272" si="37">SUM(D272+F272)-H272</f>
        <v>12</v>
      </c>
      <c r="K272" s="16">
        <f t="shared" si="33"/>
        <v>240000</v>
      </c>
    </row>
    <row r="273" spans="1:12" s="1" customFormat="1" x14ac:dyDescent="0.2">
      <c r="A273" s="103" t="s">
        <v>299</v>
      </c>
      <c r="B273" s="104"/>
      <c r="C273" s="104"/>
      <c r="D273" s="104"/>
      <c r="E273" s="104"/>
      <c r="F273" s="104"/>
      <c r="G273" s="104"/>
      <c r="H273" s="104"/>
      <c r="I273" s="104"/>
      <c r="J273" s="104"/>
      <c r="K273" s="105"/>
    </row>
    <row r="274" spans="1:12" s="13" customFormat="1" x14ac:dyDescent="0.2">
      <c r="A274" s="77" t="s">
        <v>300</v>
      </c>
      <c r="B274" s="8" t="s">
        <v>62</v>
      </c>
      <c r="C274" s="9">
        <v>43000</v>
      </c>
      <c r="D274" s="7">
        <v>9</v>
      </c>
      <c r="E274" s="62">
        <f>D274*C274</f>
        <v>387000</v>
      </c>
      <c r="F274" s="11">
        <v>28</v>
      </c>
      <c r="G274" s="9">
        <f>F274*C274</f>
        <v>1204000</v>
      </c>
      <c r="H274" s="8">
        <v>28</v>
      </c>
      <c r="I274" s="9">
        <f t="shared" ref="I274:I276" si="38">H274*C274</f>
        <v>1204000</v>
      </c>
      <c r="J274" s="12">
        <f t="shared" ref="J274:J276" si="39">SUM(D274+F274)-H274</f>
        <v>9</v>
      </c>
      <c r="K274" s="9">
        <f>J274*C274</f>
        <v>387000</v>
      </c>
      <c r="L274" s="13">
        <v>9</v>
      </c>
    </row>
    <row r="275" spans="1:12" s="13" customFormat="1" x14ac:dyDescent="0.2">
      <c r="A275" s="77" t="s">
        <v>301</v>
      </c>
      <c r="B275" s="8" t="s">
        <v>62</v>
      </c>
      <c r="C275" s="9">
        <v>22000</v>
      </c>
      <c r="D275" s="7">
        <v>11</v>
      </c>
      <c r="E275" s="62">
        <f>D275*C275</f>
        <v>242000</v>
      </c>
      <c r="F275" s="11">
        <v>12</v>
      </c>
      <c r="G275" s="9">
        <f t="shared" ref="G275" si="40">F275*C275</f>
        <v>264000</v>
      </c>
      <c r="H275" s="8">
        <v>14</v>
      </c>
      <c r="I275" s="9">
        <f t="shared" si="38"/>
        <v>308000</v>
      </c>
      <c r="J275" s="12">
        <f t="shared" si="39"/>
        <v>9</v>
      </c>
      <c r="K275" s="9">
        <f>J275*C275</f>
        <v>198000</v>
      </c>
      <c r="L275" s="13">
        <v>11</v>
      </c>
    </row>
    <row r="276" spans="1:12" s="13" customFormat="1" x14ac:dyDescent="0.2">
      <c r="A276" s="77" t="s">
        <v>302</v>
      </c>
      <c r="B276" s="8" t="s">
        <v>62</v>
      </c>
      <c r="C276" s="9">
        <v>40000</v>
      </c>
      <c r="D276" s="7">
        <v>4</v>
      </c>
      <c r="E276" s="62">
        <f>D276*C276</f>
        <v>160000</v>
      </c>
      <c r="F276" s="11">
        <v>3</v>
      </c>
      <c r="G276" s="9">
        <f>F276*C276</f>
        <v>120000</v>
      </c>
      <c r="H276" s="8">
        <v>4</v>
      </c>
      <c r="I276" s="9">
        <f t="shared" si="38"/>
        <v>160000</v>
      </c>
      <c r="J276" s="12">
        <f t="shared" si="39"/>
        <v>3</v>
      </c>
      <c r="K276" s="9">
        <f>J276*C276</f>
        <v>120000</v>
      </c>
      <c r="L276" s="13">
        <v>4</v>
      </c>
    </row>
    <row r="277" spans="1:12" s="1" customFormat="1" ht="15" customHeight="1" x14ac:dyDescent="0.2">
      <c r="A277" s="103" t="s">
        <v>303</v>
      </c>
      <c r="B277" s="104"/>
      <c r="C277" s="104"/>
      <c r="D277" s="104"/>
      <c r="E277" s="104"/>
      <c r="F277" s="104"/>
      <c r="G277" s="104"/>
      <c r="H277" s="104"/>
      <c r="I277" s="104"/>
      <c r="J277" s="104"/>
      <c r="K277" s="105"/>
    </row>
    <row r="278" spans="1:12" s="1" customFormat="1" ht="15" customHeight="1" x14ac:dyDescent="0.2">
      <c r="A278" s="14" t="s">
        <v>380</v>
      </c>
      <c r="B278" s="18" t="s">
        <v>43</v>
      </c>
      <c r="C278" s="111">
        <v>15000</v>
      </c>
      <c r="D278" s="18">
        <v>0</v>
      </c>
      <c r="E278" s="62">
        <f>D278*C278</f>
        <v>0</v>
      </c>
      <c r="F278" s="18">
        <v>6</v>
      </c>
      <c r="G278" s="80">
        <f>F278*C278</f>
        <v>90000</v>
      </c>
      <c r="H278" s="18">
        <v>6</v>
      </c>
      <c r="I278" s="80">
        <f>H278*C278</f>
        <v>90000</v>
      </c>
      <c r="J278" s="5">
        <f>SUM(D278+F278)-H278</f>
        <v>0</v>
      </c>
      <c r="K278" s="80">
        <f>SUM(C278*J278)</f>
        <v>0</v>
      </c>
    </row>
    <row r="279" spans="1:12" s="1" customFormat="1" ht="15" customHeight="1" x14ac:dyDescent="0.2">
      <c r="A279" s="14" t="s">
        <v>381</v>
      </c>
      <c r="B279" s="18" t="s">
        <v>394</v>
      </c>
      <c r="C279" s="112">
        <v>78000</v>
      </c>
      <c r="D279" s="18">
        <v>0</v>
      </c>
      <c r="E279" s="62">
        <f t="shared" ref="E279:E291" si="41">D279*C279</f>
        <v>0</v>
      </c>
      <c r="F279" s="18">
        <v>40</v>
      </c>
      <c r="G279" s="80">
        <f t="shared" ref="G279:G291" si="42">F279*C279</f>
        <v>3120000</v>
      </c>
      <c r="H279" s="18">
        <v>40</v>
      </c>
      <c r="I279" s="80">
        <f t="shared" ref="I279:I291" si="43">H279*C279</f>
        <v>3120000</v>
      </c>
      <c r="J279" s="5">
        <f t="shared" ref="J279:J291" si="44">SUM(D279+F279)-H279</f>
        <v>0</v>
      </c>
      <c r="K279" s="80">
        <f t="shared" ref="K279:K291" si="45">SUM(C279*J279)</f>
        <v>0</v>
      </c>
    </row>
    <row r="280" spans="1:12" s="1" customFormat="1" ht="15" customHeight="1" x14ac:dyDescent="0.2">
      <c r="A280" s="14" t="s">
        <v>382</v>
      </c>
      <c r="B280" s="18" t="s">
        <v>394</v>
      </c>
      <c r="C280" s="111">
        <v>65000</v>
      </c>
      <c r="D280" s="18">
        <v>0</v>
      </c>
      <c r="E280" s="62">
        <f t="shared" si="41"/>
        <v>0</v>
      </c>
      <c r="F280" s="18">
        <v>40</v>
      </c>
      <c r="G280" s="80">
        <f t="shared" si="42"/>
        <v>2600000</v>
      </c>
      <c r="H280" s="18">
        <v>40</v>
      </c>
      <c r="I280" s="80">
        <f t="shared" si="43"/>
        <v>2600000</v>
      </c>
      <c r="J280" s="5">
        <f t="shared" si="44"/>
        <v>0</v>
      </c>
      <c r="K280" s="80">
        <f t="shared" si="45"/>
        <v>0</v>
      </c>
    </row>
    <row r="281" spans="1:12" s="1" customFormat="1" ht="15" customHeight="1" x14ac:dyDescent="0.2">
      <c r="A281" s="14" t="s">
        <v>383</v>
      </c>
      <c r="B281" s="18" t="s">
        <v>394</v>
      </c>
      <c r="C281" s="111">
        <v>78000</v>
      </c>
      <c r="D281" s="18">
        <v>0</v>
      </c>
      <c r="E281" s="62">
        <f t="shared" si="41"/>
        <v>0</v>
      </c>
      <c r="F281" s="18">
        <v>24</v>
      </c>
      <c r="G281" s="80">
        <f t="shared" si="42"/>
        <v>1872000</v>
      </c>
      <c r="H281" s="18">
        <v>24</v>
      </c>
      <c r="I281" s="80">
        <f t="shared" si="43"/>
        <v>1872000</v>
      </c>
      <c r="J281" s="5">
        <f t="shared" si="44"/>
        <v>0</v>
      </c>
      <c r="K281" s="80">
        <f t="shared" si="45"/>
        <v>0</v>
      </c>
    </row>
    <row r="282" spans="1:12" s="1" customFormat="1" ht="15" customHeight="1" x14ac:dyDescent="0.2">
      <c r="A282" s="14" t="s">
        <v>384</v>
      </c>
      <c r="B282" s="18" t="s">
        <v>62</v>
      </c>
      <c r="C282" s="111">
        <v>2500</v>
      </c>
      <c r="D282" s="18">
        <v>0</v>
      </c>
      <c r="E282" s="62">
        <f t="shared" si="41"/>
        <v>0</v>
      </c>
      <c r="F282" s="18">
        <v>600</v>
      </c>
      <c r="G282" s="80">
        <f t="shared" si="42"/>
        <v>1500000</v>
      </c>
      <c r="H282" s="18">
        <v>600</v>
      </c>
      <c r="I282" s="80">
        <f t="shared" si="43"/>
        <v>1500000</v>
      </c>
      <c r="J282" s="5">
        <f t="shared" si="44"/>
        <v>0</v>
      </c>
      <c r="K282" s="80">
        <f t="shared" si="45"/>
        <v>0</v>
      </c>
    </row>
    <row r="283" spans="1:12" s="1" customFormat="1" ht="15" customHeight="1" x14ac:dyDescent="0.2">
      <c r="A283" s="14" t="s">
        <v>385</v>
      </c>
      <c r="B283" s="18" t="s">
        <v>62</v>
      </c>
      <c r="C283" s="111">
        <v>3300</v>
      </c>
      <c r="D283" s="18">
        <v>0</v>
      </c>
      <c r="E283" s="62">
        <f t="shared" si="41"/>
        <v>0</v>
      </c>
      <c r="F283" s="18">
        <v>500</v>
      </c>
      <c r="G283" s="80">
        <f t="shared" si="42"/>
        <v>1650000</v>
      </c>
      <c r="H283" s="18">
        <v>500</v>
      </c>
      <c r="I283" s="80">
        <f t="shared" si="43"/>
        <v>1650000</v>
      </c>
      <c r="J283" s="5">
        <f t="shared" si="44"/>
        <v>0</v>
      </c>
      <c r="K283" s="80">
        <f t="shared" si="45"/>
        <v>0</v>
      </c>
    </row>
    <row r="284" spans="1:12" s="1" customFormat="1" ht="15" customHeight="1" x14ac:dyDescent="0.2">
      <c r="A284" s="14" t="s">
        <v>386</v>
      </c>
      <c r="B284" s="18" t="s">
        <v>62</v>
      </c>
      <c r="C284" s="111">
        <v>32000</v>
      </c>
      <c r="D284" s="18">
        <v>0</v>
      </c>
      <c r="E284" s="62">
        <f t="shared" si="41"/>
        <v>0</v>
      </c>
      <c r="F284" s="18">
        <v>100</v>
      </c>
      <c r="G284" s="80">
        <f t="shared" si="42"/>
        <v>3200000</v>
      </c>
      <c r="H284" s="18">
        <v>100</v>
      </c>
      <c r="I284" s="80">
        <f t="shared" si="43"/>
        <v>3200000</v>
      </c>
      <c r="J284" s="5">
        <f t="shared" si="44"/>
        <v>0</v>
      </c>
      <c r="K284" s="80">
        <f t="shared" si="45"/>
        <v>0</v>
      </c>
    </row>
    <row r="285" spans="1:12" s="1" customFormat="1" ht="15" customHeight="1" x14ac:dyDescent="0.2">
      <c r="A285" s="14" t="s">
        <v>387</v>
      </c>
      <c r="B285" s="18" t="s">
        <v>62</v>
      </c>
      <c r="C285" s="111">
        <v>45000</v>
      </c>
      <c r="D285" s="18">
        <v>0</v>
      </c>
      <c r="E285" s="62">
        <f t="shared" si="41"/>
        <v>0</v>
      </c>
      <c r="F285" s="18">
        <v>6</v>
      </c>
      <c r="G285" s="80">
        <f t="shared" si="42"/>
        <v>270000</v>
      </c>
      <c r="H285" s="18">
        <v>6</v>
      </c>
      <c r="I285" s="80">
        <f t="shared" si="43"/>
        <v>270000</v>
      </c>
      <c r="J285" s="5">
        <f t="shared" si="44"/>
        <v>0</v>
      </c>
      <c r="K285" s="80">
        <f t="shared" si="45"/>
        <v>0</v>
      </c>
    </row>
    <row r="286" spans="1:12" s="1" customFormat="1" ht="15" customHeight="1" x14ac:dyDescent="0.2">
      <c r="A286" s="14" t="s">
        <v>388</v>
      </c>
      <c r="B286" s="18" t="s">
        <v>62</v>
      </c>
      <c r="C286" s="111">
        <v>42750</v>
      </c>
      <c r="D286" s="18">
        <v>0</v>
      </c>
      <c r="E286" s="62">
        <f t="shared" si="41"/>
        <v>0</v>
      </c>
      <c r="F286" s="18">
        <v>2</v>
      </c>
      <c r="G286" s="80">
        <f t="shared" si="42"/>
        <v>85500</v>
      </c>
      <c r="H286" s="18">
        <v>2</v>
      </c>
      <c r="I286" s="80">
        <f t="shared" si="43"/>
        <v>85500</v>
      </c>
      <c r="J286" s="5">
        <f t="shared" si="44"/>
        <v>0</v>
      </c>
      <c r="K286" s="80">
        <f t="shared" si="45"/>
        <v>0</v>
      </c>
    </row>
    <row r="287" spans="1:12" s="1" customFormat="1" ht="15" customHeight="1" x14ac:dyDescent="0.2">
      <c r="A287" s="14" t="s">
        <v>389</v>
      </c>
      <c r="B287" s="18" t="s">
        <v>43</v>
      </c>
      <c r="C287" s="111">
        <v>5500</v>
      </c>
      <c r="D287" s="18">
        <v>0</v>
      </c>
      <c r="E287" s="62">
        <f t="shared" si="41"/>
        <v>0</v>
      </c>
      <c r="F287" s="18">
        <v>45</v>
      </c>
      <c r="G287" s="80">
        <f t="shared" si="42"/>
        <v>247500</v>
      </c>
      <c r="H287" s="18">
        <v>45</v>
      </c>
      <c r="I287" s="80">
        <f t="shared" si="43"/>
        <v>247500</v>
      </c>
      <c r="J287" s="5">
        <f t="shared" si="44"/>
        <v>0</v>
      </c>
      <c r="K287" s="80">
        <f t="shared" si="45"/>
        <v>0</v>
      </c>
    </row>
    <row r="288" spans="1:12" s="1" customFormat="1" ht="15" customHeight="1" x14ac:dyDescent="0.2">
      <c r="A288" s="14" t="s">
        <v>390</v>
      </c>
      <c r="B288" s="18" t="s">
        <v>78</v>
      </c>
      <c r="C288" s="111">
        <v>2750000</v>
      </c>
      <c r="D288" s="18">
        <v>0</v>
      </c>
      <c r="E288" s="62">
        <f t="shared" si="41"/>
        <v>0</v>
      </c>
      <c r="F288" s="18">
        <v>1</v>
      </c>
      <c r="G288" s="80">
        <f t="shared" si="42"/>
        <v>2750000</v>
      </c>
      <c r="H288" s="18">
        <v>1</v>
      </c>
      <c r="I288" s="80">
        <f t="shared" si="43"/>
        <v>2750000</v>
      </c>
      <c r="J288" s="5">
        <f t="shared" si="44"/>
        <v>0</v>
      </c>
      <c r="K288" s="80">
        <f t="shared" si="45"/>
        <v>0</v>
      </c>
    </row>
    <row r="289" spans="1:11" s="1" customFormat="1" ht="15" customHeight="1" x14ac:dyDescent="0.2">
      <c r="A289" s="14" t="s">
        <v>391</v>
      </c>
      <c r="B289" s="18" t="s">
        <v>395</v>
      </c>
      <c r="C289" s="111">
        <v>70000</v>
      </c>
      <c r="D289" s="18">
        <v>0</v>
      </c>
      <c r="E289" s="62">
        <f t="shared" si="41"/>
        <v>0</v>
      </c>
      <c r="F289" s="18">
        <v>100</v>
      </c>
      <c r="G289" s="80">
        <f t="shared" si="42"/>
        <v>7000000</v>
      </c>
      <c r="H289" s="18">
        <v>100</v>
      </c>
      <c r="I289" s="80">
        <f t="shared" si="43"/>
        <v>7000000</v>
      </c>
      <c r="J289" s="5">
        <f t="shared" si="44"/>
        <v>0</v>
      </c>
      <c r="K289" s="80">
        <f t="shared" si="45"/>
        <v>0</v>
      </c>
    </row>
    <row r="290" spans="1:11" s="1" customFormat="1" ht="15" customHeight="1" x14ac:dyDescent="0.2">
      <c r="A290" s="14" t="s">
        <v>392</v>
      </c>
      <c r="B290" s="18" t="s">
        <v>62</v>
      </c>
      <c r="C290" s="111">
        <v>25000</v>
      </c>
      <c r="D290" s="18">
        <v>0</v>
      </c>
      <c r="E290" s="62">
        <f t="shared" si="41"/>
        <v>0</v>
      </c>
      <c r="F290" s="18">
        <v>6</v>
      </c>
      <c r="G290" s="80">
        <f t="shared" si="42"/>
        <v>150000</v>
      </c>
      <c r="H290" s="18">
        <v>6</v>
      </c>
      <c r="I290" s="80">
        <f t="shared" si="43"/>
        <v>150000</v>
      </c>
      <c r="J290" s="5">
        <f t="shared" si="44"/>
        <v>0</v>
      </c>
      <c r="K290" s="80">
        <f t="shared" si="45"/>
        <v>0</v>
      </c>
    </row>
    <row r="291" spans="1:11" s="1" customFormat="1" ht="15" customHeight="1" x14ac:dyDescent="0.2">
      <c r="A291" s="14" t="s">
        <v>393</v>
      </c>
      <c r="B291" s="18" t="s">
        <v>62</v>
      </c>
      <c r="C291" s="111">
        <v>7650000</v>
      </c>
      <c r="D291" s="18">
        <v>0</v>
      </c>
      <c r="E291" s="62">
        <f t="shared" si="41"/>
        <v>0</v>
      </c>
      <c r="F291" s="18">
        <v>1</v>
      </c>
      <c r="G291" s="80">
        <f t="shared" si="42"/>
        <v>7650000</v>
      </c>
      <c r="H291" s="18">
        <v>1</v>
      </c>
      <c r="I291" s="80">
        <f t="shared" si="43"/>
        <v>7650000</v>
      </c>
      <c r="J291" s="5">
        <f t="shared" si="44"/>
        <v>0</v>
      </c>
      <c r="K291" s="80">
        <f t="shared" si="45"/>
        <v>0</v>
      </c>
    </row>
    <row r="292" spans="1:11" s="1" customFormat="1" ht="15" customHeight="1" x14ac:dyDescent="0.2">
      <c r="A292" s="78"/>
      <c r="B292" s="18"/>
      <c r="C292" s="79"/>
      <c r="D292" s="18"/>
      <c r="E292" s="62"/>
      <c r="F292" s="18"/>
      <c r="G292" s="80"/>
      <c r="H292" s="18"/>
      <c r="I292" s="80"/>
      <c r="J292" s="5"/>
      <c r="K292" s="80"/>
    </row>
    <row r="293" spans="1:11" x14ac:dyDescent="0.2">
      <c r="A293" s="97" t="s">
        <v>304</v>
      </c>
      <c r="B293" s="97"/>
      <c r="C293" s="97"/>
      <c r="D293" s="97"/>
      <c r="E293" s="97"/>
      <c r="F293" s="97"/>
      <c r="G293" s="97"/>
      <c r="H293" s="97"/>
      <c r="I293" s="97"/>
      <c r="J293" s="97"/>
      <c r="K293" s="97"/>
    </row>
    <row r="294" spans="1:11" x14ac:dyDescent="0.2">
      <c r="A294" s="82" t="s">
        <v>305</v>
      </c>
      <c r="B294" s="83" t="s">
        <v>25</v>
      </c>
      <c r="C294" s="84">
        <v>10000</v>
      </c>
      <c r="D294" s="15">
        <v>0</v>
      </c>
      <c r="E294" s="85">
        <f>SUM(C294*D294)</f>
        <v>0</v>
      </c>
      <c r="F294" s="15">
        <v>0</v>
      </c>
      <c r="G294" s="85">
        <f t="shared" ref="G294:G358" si="46">SUM(C294*F294)</f>
        <v>0</v>
      </c>
      <c r="H294" s="15">
        <f>F294</f>
        <v>0</v>
      </c>
      <c r="I294" s="85">
        <f>SUM(C294*H294)</f>
        <v>0</v>
      </c>
      <c r="J294" s="86">
        <f t="shared" ref="J294:J358" si="47">SUM(D294+F294)-H294</f>
        <v>0</v>
      </c>
      <c r="K294" s="85">
        <f>SUM(C294*J294)</f>
        <v>0</v>
      </c>
    </row>
    <row r="295" spans="1:11" x14ac:dyDescent="0.2">
      <c r="A295" s="87" t="s">
        <v>306</v>
      </c>
      <c r="B295" s="15" t="s">
        <v>25</v>
      </c>
      <c r="C295" s="88">
        <v>20000</v>
      </c>
      <c r="D295" s="15">
        <v>0</v>
      </c>
      <c r="E295" s="89">
        <f t="shared" ref="E295:E355" si="48">SUM(C295*D295)</f>
        <v>0</v>
      </c>
      <c r="F295" s="15">
        <v>0</v>
      </c>
      <c r="G295" s="89">
        <f t="shared" si="46"/>
        <v>0</v>
      </c>
      <c r="H295" s="15">
        <f t="shared" ref="H295:H358" si="49">F295</f>
        <v>0</v>
      </c>
      <c r="I295" s="89">
        <f t="shared" ref="I295:I358" si="50">SUM(C295*H295)</f>
        <v>0</v>
      </c>
      <c r="J295" s="6">
        <f t="shared" si="47"/>
        <v>0</v>
      </c>
      <c r="K295" s="89">
        <f t="shared" ref="K295:K358" si="51">SUM(C295*J295)</f>
        <v>0</v>
      </c>
    </row>
    <row r="296" spans="1:11" x14ac:dyDescent="0.2">
      <c r="A296" s="87" t="s">
        <v>307</v>
      </c>
      <c r="B296" s="15" t="s">
        <v>25</v>
      </c>
      <c r="C296" s="88">
        <v>37000</v>
      </c>
      <c r="D296" s="15">
        <v>0</v>
      </c>
      <c r="E296" s="89">
        <f t="shared" si="48"/>
        <v>0</v>
      </c>
      <c r="F296" s="15">
        <v>0</v>
      </c>
      <c r="G296" s="89">
        <f t="shared" si="46"/>
        <v>0</v>
      </c>
      <c r="H296" s="15">
        <f t="shared" si="49"/>
        <v>0</v>
      </c>
      <c r="I296" s="89">
        <f t="shared" si="50"/>
        <v>0</v>
      </c>
      <c r="J296" s="6">
        <f t="shared" si="47"/>
        <v>0</v>
      </c>
      <c r="K296" s="89">
        <f t="shared" si="51"/>
        <v>0</v>
      </c>
    </row>
    <row r="297" spans="1:11" x14ac:dyDescent="0.2">
      <c r="A297" s="90" t="s">
        <v>308</v>
      </c>
      <c r="B297" s="15" t="s">
        <v>25</v>
      </c>
      <c r="C297" s="91">
        <f>'[1]Anggaran Belanja Juli'!$M$44</f>
        <v>17000</v>
      </c>
      <c r="D297" s="15">
        <v>0</v>
      </c>
      <c r="E297" s="89">
        <f t="shared" si="48"/>
        <v>0</v>
      </c>
      <c r="F297" s="15">
        <v>0</v>
      </c>
      <c r="G297" s="89">
        <f t="shared" si="46"/>
        <v>0</v>
      </c>
      <c r="H297" s="15">
        <f t="shared" si="49"/>
        <v>0</v>
      </c>
      <c r="I297" s="89">
        <f t="shared" si="50"/>
        <v>0</v>
      </c>
      <c r="J297" s="6">
        <f t="shared" si="47"/>
        <v>0</v>
      </c>
      <c r="K297" s="89">
        <f t="shared" si="51"/>
        <v>0</v>
      </c>
    </row>
    <row r="298" spans="1:11" x14ac:dyDescent="0.2">
      <c r="A298" s="90" t="s">
        <v>309</v>
      </c>
      <c r="B298" s="15" t="s">
        <v>25</v>
      </c>
      <c r="C298" s="91">
        <v>8500</v>
      </c>
      <c r="D298" s="15">
        <v>0</v>
      </c>
      <c r="E298" s="89">
        <f t="shared" si="48"/>
        <v>0</v>
      </c>
      <c r="F298" s="15">
        <v>0</v>
      </c>
      <c r="G298" s="89">
        <f t="shared" si="46"/>
        <v>0</v>
      </c>
      <c r="H298" s="15">
        <f t="shared" si="49"/>
        <v>0</v>
      </c>
      <c r="I298" s="89">
        <f t="shared" si="50"/>
        <v>0</v>
      </c>
      <c r="J298" s="6">
        <f t="shared" si="47"/>
        <v>0</v>
      </c>
      <c r="K298" s="89">
        <f t="shared" si="51"/>
        <v>0</v>
      </c>
    </row>
    <row r="299" spans="1:11" x14ac:dyDescent="0.2">
      <c r="A299" s="90" t="s">
        <v>310</v>
      </c>
      <c r="B299" s="15" t="s">
        <v>25</v>
      </c>
      <c r="C299" s="91">
        <v>10500</v>
      </c>
      <c r="D299" s="15">
        <v>0</v>
      </c>
      <c r="E299" s="89">
        <f t="shared" si="48"/>
        <v>0</v>
      </c>
      <c r="F299" s="15">
        <v>0</v>
      </c>
      <c r="G299" s="89">
        <f t="shared" si="46"/>
        <v>0</v>
      </c>
      <c r="H299" s="15">
        <f t="shared" si="49"/>
        <v>0</v>
      </c>
      <c r="I299" s="89">
        <f t="shared" si="50"/>
        <v>0</v>
      </c>
      <c r="J299" s="6">
        <f t="shared" si="47"/>
        <v>0</v>
      </c>
      <c r="K299" s="89">
        <f t="shared" si="51"/>
        <v>0</v>
      </c>
    </row>
    <row r="300" spans="1:11" x14ac:dyDescent="0.2">
      <c r="A300" s="90" t="s">
        <v>311</v>
      </c>
      <c r="B300" s="15" t="s">
        <v>25</v>
      </c>
      <c r="C300" s="91">
        <v>12500</v>
      </c>
      <c r="D300" s="15">
        <v>0</v>
      </c>
      <c r="E300" s="89">
        <f t="shared" si="48"/>
        <v>0</v>
      </c>
      <c r="F300" s="15">
        <v>0</v>
      </c>
      <c r="G300" s="89">
        <f t="shared" si="46"/>
        <v>0</v>
      </c>
      <c r="H300" s="15">
        <f t="shared" si="49"/>
        <v>0</v>
      </c>
      <c r="I300" s="89">
        <f t="shared" si="50"/>
        <v>0</v>
      </c>
      <c r="J300" s="6">
        <f t="shared" si="47"/>
        <v>0</v>
      </c>
      <c r="K300" s="89">
        <f t="shared" si="51"/>
        <v>0</v>
      </c>
    </row>
    <row r="301" spans="1:11" x14ac:dyDescent="0.2">
      <c r="A301" s="90" t="s">
        <v>312</v>
      </c>
      <c r="B301" s="15" t="s">
        <v>25</v>
      </c>
      <c r="C301" s="91">
        <v>12500</v>
      </c>
      <c r="D301" s="15">
        <v>0</v>
      </c>
      <c r="E301" s="89">
        <f t="shared" si="48"/>
        <v>0</v>
      </c>
      <c r="F301" s="15">
        <v>3</v>
      </c>
      <c r="G301" s="89">
        <f t="shared" si="46"/>
        <v>37500</v>
      </c>
      <c r="H301" s="15">
        <f t="shared" si="49"/>
        <v>3</v>
      </c>
      <c r="I301" s="89">
        <f t="shared" si="50"/>
        <v>37500</v>
      </c>
      <c r="J301" s="6">
        <f t="shared" si="47"/>
        <v>0</v>
      </c>
      <c r="K301" s="89">
        <f t="shared" si="51"/>
        <v>0</v>
      </c>
    </row>
    <row r="302" spans="1:11" x14ac:dyDescent="0.2">
      <c r="A302" s="90" t="s">
        <v>313</v>
      </c>
      <c r="B302" s="15" t="s">
        <v>25</v>
      </c>
      <c r="C302" s="91">
        <v>2000</v>
      </c>
      <c r="D302" s="15">
        <v>0</v>
      </c>
      <c r="E302" s="89">
        <f t="shared" si="48"/>
        <v>0</v>
      </c>
      <c r="F302" s="15">
        <v>15</v>
      </c>
      <c r="G302" s="89">
        <f t="shared" si="46"/>
        <v>30000</v>
      </c>
      <c r="H302" s="15">
        <f t="shared" si="49"/>
        <v>15</v>
      </c>
      <c r="I302" s="89">
        <f t="shared" si="50"/>
        <v>30000</v>
      </c>
      <c r="J302" s="6">
        <f t="shared" si="47"/>
        <v>0</v>
      </c>
      <c r="K302" s="89">
        <f t="shared" si="51"/>
        <v>0</v>
      </c>
    </row>
    <row r="303" spans="1:11" x14ac:dyDescent="0.2">
      <c r="A303" s="90" t="s">
        <v>314</v>
      </c>
      <c r="B303" s="15" t="s">
        <v>25</v>
      </c>
      <c r="C303" s="91">
        <v>1500</v>
      </c>
      <c r="D303" s="15">
        <v>0</v>
      </c>
      <c r="E303" s="89">
        <f t="shared" si="48"/>
        <v>0</v>
      </c>
      <c r="F303" s="15">
        <v>0</v>
      </c>
      <c r="G303" s="89">
        <f t="shared" si="46"/>
        <v>0</v>
      </c>
      <c r="H303" s="15">
        <f t="shared" si="49"/>
        <v>0</v>
      </c>
      <c r="I303" s="89">
        <f t="shared" si="50"/>
        <v>0</v>
      </c>
      <c r="J303" s="6">
        <f t="shared" si="47"/>
        <v>0</v>
      </c>
      <c r="K303" s="89">
        <f t="shared" si="51"/>
        <v>0</v>
      </c>
    </row>
    <row r="304" spans="1:11" x14ac:dyDescent="0.2">
      <c r="A304" s="90" t="s">
        <v>315</v>
      </c>
      <c r="B304" s="15" t="s">
        <v>25</v>
      </c>
      <c r="C304" s="91">
        <v>18000</v>
      </c>
      <c r="D304" s="15">
        <v>0</v>
      </c>
      <c r="E304" s="89">
        <f t="shared" si="48"/>
        <v>0</v>
      </c>
      <c r="F304" s="15">
        <v>0</v>
      </c>
      <c r="G304" s="89">
        <f t="shared" si="46"/>
        <v>0</v>
      </c>
      <c r="H304" s="15">
        <f t="shared" si="49"/>
        <v>0</v>
      </c>
      <c r="I304" s="89">
        <f t="shared" si="50"/>
        <v>0</v>
      </c>
      <c r="J304" s="6">
        <f t="shared" si="47"/>
        <v>0</v>
      </c>
      <c r="K304" s="89">
        <f t="shared" si="51"/>
        <v>0</v>
      </c>
    </row>
    <row r="305" spans="1:11" x14ac:dyDescent="0.2">
      <c r="A305" s="90" t="s">
        <v>316</v>
      </c>
      <c r="B305" s="15" t="s">
        <v>25</v>
      </c>
      <c r="C305" s="91">
        <v>5000</v>
      </c>
      <c r="D305" s="15">
        <v>0</v>
      </c>
      <c r="E305" s="89">
        <f t="shared" si="48"/>
        <v>0</v>
      </c>
      <c r="F305" s="15">
        <v>0</v>
      </c>
      <c r="G305" s="89">
        <f t="shared" si="46"/>
        <v>0</v>
      </c>
      <c r="H305" s="15">
        <f t="shared" si="49"/>
        <v>0</v>
      </c>
      <c r="I305" s="89">
        <f t="shared" si="50"/>
        <v>0</v>
      </c>
      <c r="J305" s="6">
        <f t="shared" si="47"/>
        <v>0</v>
      </c>
      <c r="K305" s="89">
        <f t="shared" si="51"/>
        <v>0</v>
      </c>
    </row>
    <row r="306" spans="1:11" x14ac:dyDescent="0.2">
      <c r="A306" s="90" t="s">
        <v>317</v>
      </c>
      <c r="B306" s="15" t="s">
        <v>25</v>
      </c>
      <c r="C306" s="91">
        <v>3000</v>
      </c>
      <c r="D306" s="15">
        <v>0</v>
      </c>
      <c r="E306" s="89">
        <f t="shared" si="48"/>
        <v>0</v>
      </c>
      <c r="F306" s="15">
        <v>10</v>
      </c>
      <c r="G306" s="89">
        <f t="shared" si="46"/>
        <v>30000</v>
      </c>
      <c r="H306" s="15">
        <f t="shared" si="49"/>
        <v>10</v>
      </c>
      <c r="I306" s="89">
        <f t="shared" si="50"/>
        <v>30000</v>
      </c>
      <c r="J306" s="6">
        <f t="shared" si="47"/>
        <v>0</v>
      </c>
      <c r="K306" s="89">
        <f t="shared" si="51"/>
        <v>0</v>
      </c>
    </row>
    <row r="307" spans="1:11" x14ac:dyDescent="0.2">
      <c r="A307" s="92" t="s">
        <v>318</v>
      </c>
      <c r="B307" s="15" t="s">
        <v>25</v>
      </c>
      <c r="C307" s="91">
        <v>5000</v>
      </c>
      <c r="D307" s="15">
        <v>0</v>
      </c>
      <c r="E307" s="89">
        <f t="shared" si="48"/>
        <v>0</v>
      </c>
      <c r="F307" s="15">
        <v>0</v>
      </c>
      <c r="G307" s="89">
        <f t="shared" si="46"/>
        <v>0</v>
      </c>
      <c r="H307" s="15">
        <f t="shared" si="49"/>
        <v>0</v>
      </c>
      <c r="I307" s="89">
        <f t="shared" si="50"/>
        <v>0</v>
      </c>
      <c r="J307" s="6">
        <f t="shared" si="47"/>
        <v>0</v>
      </c>
      <c r="K307" s="89">
        <f t="shared" si="51"/>
        <v>0</v>
      </c>
    </row>
    <row r="308" spans="1:11" x14ac:dyDescent="0.2">
      <c r="A308" s="90" t="s">
        <v>319</v>
      </c>
      <c r="B308" s="15" t="s">
        <v>25</v>
      </c>
      <c r="C308" s="91">
        <v>4000</v>
      </c>
      <c r="D308" s="15">
        <v>0</v>
      </c>
      <c r="E308" s="89">
        <f t="shared" si="48"/>
        <v>0</v>
      </c>
      <c r="F308" s="15">
        <v>0</v>
      </c>
      <c r="G308" s="89">
        <f t="shared" si="46"/>
        <v>0</v>
      </c>
      <c r="H308" s="15">
        <f t="shared" si="49"/>
        <v>0</v>
      </c>
      <c r="I308" s="89">
        <f t="shared" si="50"/>
        <v>0</v>
      </c>
      <c r="J308" s="6">
        <f t="shared" si="47"/>
        <v>0</v>
      </c>
      <c r="K308" s="89">
        <f t="shared" si="51"/>
        <v>0</v>
      </c>
    </row>
    <row r="309" spans="1:11" x14ac:dyDescent="0.2">
      <c r="A309" s="90" t="s">
        <v>320</v>
      </c>
      <c r="B309" s="15" t="s">
        <v>25</v>
      </c>
      <c r="C309" s="91">
        <v>4500</v>
      </c>
      <c r="D309" s="15">
        <v>0</v>
      </c>
      <c r="E309" s="89">
        <f t="shared" si="48"/>
        <v>0</v>
      </c>
      <c r="F309" s="15">
        <v>0</v>
      </c>
      <c r="G309" s="89">
        <f t="shared" si="46"/>
        <v>0</v>
      </c>
      <c r="H309" s="15">
        <f t="shared" si="49"/>
        <v>0</v>
      </c>
      <c r="I309" s="89">
        <f t="shared" si="50"/>
        <v>0</v>
      </c>
      <c r="J309" s="6">
        <f t="shared" si="47"/>
        <v>0</v>
      </c>
      <c r="K309" s="89">
        <f t="shared" si="51"/>
        <v>0</v>
      </c>
    </row>
    <row r="310" spans="1:11" x14ac:dyDescent="0.2">
      <c r="A310" s="90" t="s">
        <v>321</v>
      </c>
      <c r="B310" s="15" t="s">
        <v>25</v>
      </c>
      <c r="C310" s="91">
        <v>5000</v>
      </c>
      <c r="D310" s="15">
        <v>0</v>
      </c>
      <c r="E310" s="89">
        <f t="shared" si="48"/>
        <v>0</v>
      </c>
      <c r="F310" s="15">
        <v>4</v>
      </c>
      <c r="G310" s="89">
        <f t="shared" si="46"/>
        <v>20000</v>
      </c>
      <c r="H310" s="15">
        <f t="shared" si="49"/>
        <v>4</v>
      </c>
      <c r="I310" s="89">
        <f t="shared" si="50"/>
        <v>20000</v>
      </c>
      <c r="J310" s="6">
        <f t="shared" si="47"/>
        <v>0</v>
      </c>
      <c r="K310" s="89">
        <f t="shared" si="51"/>
        <v>0</v>
      </c>
    </row>
    <row r="311" spans="1:11" x14ac:dyDescent="0.2">
      <c r="A311" s="90" t="s">
        <v>322</v>
      </c>
      <c r="B311" s="15" t="s">
        <v>25</v>
      </c>
      <c r="C311" s="91">
        <v>6500</v>
      </c>
      <c r="D311" s="15">
        <v>0</v>
      </c>
      <c r="E311" s="89">
        <f t="shared" si="48"/>
        <v>0</v>
      </c>
      <c r="F311" s="15">
        <v>0</v>
      </c>
      <c r="G311" s="89">
        <f t="shared" si="46"/>
        <v>0</v>
      </c>
      <c r="H311" s="15">
        <f t="shared" si="49"/>
        <v>0</v>
      </c>
      <c r="I311" s="89">
        <f t="shared" si="50"/>
        <v>0</v>
      </c>
      <c r="J311" s="6">
        <f t="shared" si="47"/>
        <v>0</v>
      </c>
      <c r="K311" s="89">
        <f t="shared" si="51"/>
        <v>0</v>
      </c>
    </row>
    <row r="312" spans="1:11" x14ac:dyDescent="0.2">
      <c r="A312" s="90" t="s">
        <v>323</v>
      </c>
      <c r="B312" s="15" t="s">
        <v>25</v>
      </c>
      <c r="C312" s="91">
        <v>4500</v>
      </c>
      <c r="D312" s="15">
        <v>0</v>
      </c>
      <c r="E312" s="89">
        <f t="shared" si="48"/>
        <v>0</v>
      </c>
      <c r="F312" s="15">
        <v>5</v>
      </c>
      <c r="G312" s="89">
        <f t="shared" si="46"/>
        <v>22500</v>
      </c>
      <c r="H312" s="15">
        <f t="shared" si="49"/>
        <v>5</v>
      </c>
      <c r="I312" s="89">
        <f t="shared" si="50"/>
        <v>22500</v>
      </c>
      <c r="J312" s="6">
        <f t="shared" si="47"/>
        <v>0</v>
      </c>
      <c r="K312" s="89">
        <f t="shared" si="51"/>
        <v>0</v>
      </c>
    </row>
    <row r="313" spans="1:11" x14ac:dyDescent="0.2">
      <c r="A313" s="90" t="s">
        <v>324</v>
      </c>
      <c r="B313" s="15" t="s">
        <v>25</v>
      </c>
      <c r="C313" s="91">
        <v>28000</v>
      </c>
      <c r="D313" s="15">
        <v>0</v>
      </c>
      <c r="E313" s="89">
        <f t="shared" si="48"/>
        <v>0</v>
      </c>
      <c r="F313" s="15">
        <v>0</v>
      </c>
      <c r="G313" s="89">
        <f t="shared" si="46"/>
        <v>0</v>
      </c>
      <c r="H313" s="15">
        <f t="shared" si="49"/>
        <v>0</v>
      </c>
      <c r="I313" s="89">
        <f t="shared" si="50"/>
        <v>0</v>
      </c>
      <c r="J313" s="6">
        <f t="shared" si="47"/>
        <v>0</v>
      </c>
      <c r="K313" s="89">
        <f t="shared" si="51"/>
        <v>0</v>
      </c>
    </row>
    <row r="314" spans="1:11" x14ac:dyDescent="0.2">
      <c r="A314" s="90" t="s">
        <v>325</v>
      </c>
      <c r="B314" s="15" t="s">
        <v>25</v>
      </c>
      <c r="C314" s="91">
        <v>8000</v>
      </c>
      <c r="D314" s="15">
        <v>0</v>
      </c>
      <c r="E314" s="89">
        <f t="shared" si="48"/>
        <v>0</v>
      </c>
      <c r="F314" s="15">
        <v>3</v>
      </c>
      <c r="G314" s="89">
        <f t="shared" si="46"/>
        <v>24000</v>
      </c>
      <c r="H314" s="15">
        <f t="shared" si="49"/>
        <v>3</v>
      </c>
      <c r="I314" s="89">
        <f t="shared" si="50"/>
        <v>24000</v>
      </c>
      <c r="J314" s="6">
        <f t="shared" si="47"/>
        <v>0</v>
      </c>
      <c r="K314" s="89">
        <f t="shared" si="51"/>
        <v>0</v>
      </c>
    </row>
    <row r="315" spans="1:11" x14ac:dyDescent="0.2">
      <c r="A315" s="90" t="s">
        <v>326</v>
      </c>
      <c r="B315" s="15" t="s">
        <v>25</v>
      </c>
      <c r="C315" s="91">
        <v>7500</v>
      </c>
      <c r="D315" s="15">
        <v>0</v>
      </c>
      <c r="E315" s="89">
        <f t="shared" si="48"/>
        <v>0</v>
      </c>
      <c r="F315" s="15">
        <v>8</v>
      </c>
      <c r="G315" s="89">
        <f t="shared" si="46"/>
        <v>60000</v>
      </c>
      <c r="H315" s="15">
        <f t="shared" si="49"/>
        <v>8</v>
      </c>
      <c r="I315" s="89">
        <f t="shared" si="50"/>
        <v>60000</v>
      </c>
      <c r="J315" s="6">
        <f t="shared" si="47"/>
        <v>0</v>
      </c>
      <c r="K315" s="89">
        <f t="shared" si="51"/>
        <v>0</v>
      </c>
    </row>
    <row r="316" spans="1:11" x14ac:dyDescent="0.2">
      <c r="A316" s="90" t="s">
        <v>327</v>
      </c>
      <c r="B316" s="15" t="s">
        <v>25</v>
      </c>
      <c r="C316" s="91">
        <v>12500</v>
      </c>
      <c r="D316" s="15">
        <v>0</v>
      </c>
      <c r="E316" s="89">
        <f t="shared" si="48"/>
        <v>0</v>
      </c>
      <c r="F316" s="15">
        <f>3+5+5+5+5+5+5</f>
        <v>33</v>
      </c>
      <c r="G316" s="89">
        <f t="shared" si="46"/>
        <v>412500</v>
      </c>
      <c r="H316" s="15">
        <f t="shared" si="49"/>
        <v>33</v>
      </c>
      <c r="I316" s="89">
        <f t="shared" si="50"/>
        <v>412500</v>
      </c>
      <c r="J316" s="6">
        <f t="shared" si="47"/>
        <v>0</v>
      </c>
      <c r="K316" s="89">
        <f t="shared" si="51"/>
        <v>0</v>
      </c>
    </row>
    <row r="317" spans="1:11" x14ac:dyDescent="0.2">
      <c r="A317" s="90" t="s">
        <v>328</v>
      </c>
      <c r="B317" s="15" t="s">
        <v>15</v>
      </c>
      <c r="C317" s="91">
        <v>2000</v>
      </c>
      <c r="D317" s="15">
        <v>0</v>
      </c>
      <c r="E317" s="89">
        <f t="shared" si="48"/>
        <v>0</v>
      </c>
      <c r="F317" s="15">
        <v>0</v>
      </c>
      <c r="G317" s="89">
        <f t="shared" si="46"/>
        <v>0</v>
      </c>
      <c r="H317" s="15">
        <f t="shared" si="49"/>
        <v>0</v>
      </c>
      <c r="I317" s="89">
        <f t="shared" si="50"/>
        <v>0</v>
      </c>
      <c r="J317" s="6">
        <f t="shared" si="47"/>
        <v>0</v>
      </c>
      <c r="K317" s="89">
        <f t="shared" si="51"/>
        <v>0</v>
      </c>
    </row>
    <row r="318" spans="1:11" x14ac:dyDescent="0.2">
      <c r="A318" s="90" t="s">
        <v>329</v>
      </c>
      <c r="B318" s="15" t="s">
        <v>15</v>
      </c>
      <c r="C318" s="91">
        <v>500</v>
      </c>
      <c r="D318" s="15">
        <v>0</v>
      </c>
      <c r="E318" s="89">
        <f t="shared" si="48"/>
        <v>0</v>
      </c>
      <c r="F318" s="15">
        <v>0</v>
      </c>
      <c r="G318" s="89">
        <f t="shared" si="46"/>
        <v>0</v>
      </c>
      <c r="H318" s="15">
        <f t="shared" si="49"/>
        <v>0</v>
      </c>
      <c r="I318" s="89">
        <f t="shared" si="50"/>
        <v>0</v>
      </c>
      <c r="J318" s="6">
        <f t="shared" si="47"/>
        <v>0</v>
      </c>
      <c r="K318" s="89">
        <f t="shared" si="51"/>
        <v>0</v>
      </c>
    </row>
    <row r="319" spans="1:11" x14ac:dyDescent="0.2">
      <c r="A319" s="90" t="s">
        <v>330</v>
      </c>
      <c r="B319" s="15" t="s">
        <v>25</v>
      </c>
      <c r="C319" s="91">
        <v>21000</v>
      </c>
      <c r="D319" s="15">
        <v>0</v>
      </c>
      <c r="E319" s="89">
        <f t="shared" si="48"/>
        <v>0</v>
      </c>
      <c r="F319" s="15">
        <v>0</v>
      </c>
      <c r="G319" s="89">
        <f t="shared" si="46"/>
        <v>0</v>
      </c>
      <c r="H319" s="15">
        <f t="shared" si="49"/>
        <v>0</v>
      </c>
      <c r="I319" s="89">
        <f t="shared" si="50"/>
        <v>0</v>
      </c>
      <c r="J319" s="6">
        <f t="shared" si="47"/>
        <v>0</v>
      </c>
      <c r="K319" s="89">
        <f t="shared" si="51"/>
        <v>0</v>
      </c>
    </row>
    <row r="320" spans="1:11" x14ac:dyDescent="0.2">
      <c r="A320" s="90" t="s">
        <v>331</v>
      </c>
      <c r="B320" s="15" t="s">
        <v>25</v>
      </c>
      <c r="C320" s="91">
        <v>23000</v>
      </c>
      <c r="D320" s="15">
        <v>0</v>
      </c>
      <c r="E320" s="89">
        <f t="shared" si="48"/>
        <v>0</v>
      </c>
      <c r="F320" s="15">
        <v>3</v>
      </c>
      <c r="G320" s="89">
        <f t="shared" si="46"/>
        <v>69000</v>
      </c>
      <c r="H320" s="15">
        <f t="shared" si="49"/>
        <v>3</v>
      </c>
      <c r="I320" s="89">
        <f t="shared" si="50"/>
        <v>69000</v>
      </c>
      <c r="J320" s="6">
        <f t="shared" si="47"/>
        <v>0</v>
      </c>
      <c r="K320" s="89">
        <f t="shared" si="51"/>
        <v>0</v>
      </c>
    </row>
    <row r="321" spans="1:11" x14ac:dyDescent="0.2">
      <c r="A321" s="90" t="s">
        <v>332</v>
      </c>
      <c r="B321" s="15" t="s">
        <v>15</v>
      </c>
      <c r="C321" s="91">
        <v>750</v>
      </c>
      <c r="D321" s="15">
        <v>0</v>
      </c>
      <c r="E321" s="89">
        <f t="shared" si="48"/>
        <v>0</v>
      </c>
      <c r="F321" s="15">
        <v>0</v>
      </c>
      <c r="G321" s="89">
        <f t="shared" si="46"/>
        <v>0</v>
      </c>
      <c r="H321" s="15">
        <f t="shared" si="49"/>
        <v>0</v>
      </c>
      <c r="I321" s="89">
        <f t="shared" si="50"/>
        <v>0</v>
      </c>
      <c r="J321" s="6">
        <f t="shared" si="47"/>
        <v>0</v>
      </c>
      <c r="K321" s="89">
        <f t="shared" si="51"/>
        <v>0</v>
      </c>
    </row>
    <row r="322" spans="1:11" x14ac:dyDescent="0.2">
      <c r="A322" s="90" t="s">
        <v>333</v>
      </c>
      <c r="B322" s="15" t="s">
        <v>15</v>
      </c>
      <c r="C322" s="91">
        <v>500</v>
      </c>
      <c r="D322" s="15">
        <v>0</v>
      </c>
      <c r="E322" s="89">
        <f t="shared" si="48"/>
        <v>0</v>
      </c>
      <c r="F322" s="15">
        <v>0</v>
      </c>
      <c r="G322" s="89">
        <f t="shared" si="46"/>
        <v>0</v>
      </c>
      <c r="H322" s="15">
        <f t="shared" si="49"/>
        <v>0</v>
      </c>
      <c r="I322" s="89">
        <f t="shared" si="50"/>
        <v>0</v>
      </c>
      <c r="J322" s="6">
        <f t="shared" si="47"/>
        <v>0</v>
      </c>
      <c r="K322" s="89">
        <f t="shared" si="51"/>
        <v>0</v>
      </c>
    </row>
    <row r="323" spans="1:11" x14ac:dyDescent="0.2">
      <c r="A323" s="14" t="s">
        <v>334</v>
      </c>
      <c r="B323" s="15" t="s">
        <v>25</v>
      </c>
      <c r="C323" s="14">
        <v>8500</v>
      </c>
      <c r="D323" s="15">
        <v>0</v>
      </c>
      <c r="E323" s="89">
        <f t="shared" si="48"/>
        <v>0</v>
      </c>
      <c r="F323" s="15">
        <v>0</v>
      </c>
      <c r="G323" s="89">
        <f t="shared" si="46"/>
        <v>0</v>
      </c>
      <c r="H323" s="15">
        <f t="shared" si="49"/>
        <v>0</v>
      </c>
      <c r="I323" s="89">
        <f t="shared" si="50"/>
        <v>0</v>
      </c>
      <c r="J323" s="6">
        <f t="shared" si="47"/>
        <v>0</v>
      </c>
      <c r="K323" s="89">
        <f t="shared" si="51"/>
        <v>0</v>
      </c>
    </row>
    <row r="324" spans="1:11" x14ac:dyDescent="0.2">
      <c r="A324" s="14" t="s">
        <v>335</v>
      </c>
      <c r="B324" s="15" t="s">
        <v>25</v>
      </c>
      <c r="C324" s="14">
        <v>12000</v>
      </c>
      <c r="D324" s="15">
        <v>0</v>
      </c>
      <c r="E324" s="89">
        <f t="shared" si="48"/>
        <v>0</v>
      </c>
      <c r="F324" s="15">
        <v>1</v>
      </c>
      <c r="G324" s="89">
        <f t="shared" si="46"/>
        <v>12000</v>
      </c>
      <c r="H324" s="15">
        <f t="shared" si="49"/>
        <v>1</v>
      </c>
      <c r="I324" s="89">
        <f t="shared" si="50"/>
        <v>12000</v>
      </c>
      <c r="J324" s="6">
        <f t="shared" si="47"/>
        <v>0</v>
      </c>
      <c r="K324" s="89">
        <f t="shared" si="51"/>
        <v>0</v>
      </c>
    </row>
    <row r="325" spans="1:11" x14ac:dyDescent="0.2">
      <c r="A325" s="14" t="s">
        <v>336</v>
      </c>
      <c r="B325" s="15" t="s">
        <v>139</v>
      </c>
      <c r="C325" s="14">
        <v>22000</v>
      </c>
      <c r="D325" s="15">
        <v>0</v>
      </c>
      <c r="E325" s="89">
        <f t="shared" si="48"/>
        <v>0</v>
      </c>
      <c r="F325" s="15">
        <v>1</v>
      </c>
      <c r="G325" s="89">
        <f t="shared" si="46"/>
        <v>22000</v>
      </c>
      <c r="H325" s="15">
        <f t="shared" si="49"/>
        <v>1</v>
      </c>
      <c r="I325" s="89">
        <f t="shared" si="50"/>
        <v>22000</v>
      </c>
      <c r="J325" s="6">
        <f t="shared" si="47"/>
        <v>0</v>
      </c>
      <c r="K325" s="89">
        <f t="shared" si="51"/>
        <v>0</v>
      </c>
    </row>
    <row r="326" spans="1:11" x14ac:dyDescent="0.2">
      <c r="A326" s="14" t="s">
        <v>337</v>
      </c>
      <c r="B326" s="15" t="s">
        <v>139</v>
      </c>
      <c r="C326" s="14">
        <v>20000</v>
      </c>
      <c r="D326" s="15">
        <v>0</v>
      </c>
      <c r="E326" s="89">
        <f t="shared" si="48"/>
        <v>0</v>
      </c>
      <c r="F326" s="15">
        <v>0</v>
      </c>
      <c r="G326" s="89">
        <f t="shared" si="46"/>
        <v>0</v>
      </c>
      <c r="H326" s="15">
        <f t="shared" si="49"/>
        <v>0</v>
      </c>
      <c r="I326" s="89">
        <f t="shared" si="50"/>
        <v>0</v>
      </c>
      <c r="J326" s="6">
        <f t="shared" si="47"/>
        <v>0</v>
      </c>
      <c r="K326" s="89">
        <f t="shared" si="51"/>
        <v>0</v>
      </c>
    </row>
    <row r="327" spans="1:11" x14ac:dyDescent="0.2">
      <c r="A327" s="14" t="s">
        <v>338</v>
      </c>
      <c r="B327" s="15" t="s">
        <v>139</v>
      </c>
      <c r="C327" s="14">
        <v>145000</v>
      </c>
      <c r="D327" s="15">
        <v>0</v>
      </c>
      <c r="E327" s="89">
        <f t="shared" si="48"/>
        <v>0</v>
      </c>
      <c r="F327" s="15">
        <v>1</v>
      </c>
      <c r="G327" s="89">
        <f t="shared" si="46"/>
        <v>145000</v>
      </c>
      <c r="H327" s="15">
        <f t="shared" si="49"/>
        <v>1</v>
      </c>
      <c r="I327" s="89">
        <f t="shared" si="50"/>
        <v>145000</v>
      </c>
      <c r="J327" s="6">
        <f t="shared" si="47"/>
        <v>0</v>
      </c>
      <c r="K327" s="89">
        <f t="shared" si="51"/>
        <v>0</v>
      </c>
    </row>
    <row r="328" spans="1:11" x14ac:dyDescent="0.2">
      <c r="A328" s="14" t="s">
        <v>339</v>
      </c>
      <c r="B328" s="15" t="s">
        <v>139</v>
      </c>
      <c r="C328" s="14">
        <v>165000</v>
      </c>
      <c r="D328" s="15">
        <v>0</v>
      </c>
      <c r="E328" s="89">
        <f t="shared" si="48"/>
        <v>0</v>
      </c>
      <c r="F328" s="15">
        <v>1</v>
      </c>
      <c r="G328" s="89">
        <f t="shared" si="46"/>
        <v>165000</v>
      </c>
      <c r="H328" s="15">
        <f t="shared" si="49"/>
        <v>1</v>
      </c>
      <c r="I328" s="89">
        <f t="shared" si="50"/>
        <v>165000</v>
      </c>
      <c r="J328" s="6">
        <f t="shared" si="47"/>
        <v>0</v>
      </c>
      <c r="K328" s="89">
        <f t="shared" si="51"/>
        <v>0</v>
      </c>
    </row>
    <row r="329" spans="1:11" x14ac:dyDescent="0.2">
      <c r="A329" s="14" t="s">
        <v>340</v>
      </c>
      <c r="B329" s="15" t="s">
        <v>15</v>
      </c>
      <c r="C329" s="14">
        <v>65</v>
      </c>
      <c r="D329" s="15">
        <v>0</v>
      </c>
      <c r="E329" s="89">
        <f t="shared" si="48"/>
        <v>0</v>
      </c>
      <c r="F329" s="15">
        <v>0</v>
      </c>
      <c r="G329" s="89">
        <f t="shared" si="46"/>
        <v>0</v>
      </c>
      <c r="H329" s="15">
        <f t="shared" si="49"/>
        <v>0</v>
      </c>
      <c r="I329" s="89">
        <f t="shared" si="50"/>
        <v>0</v>
      </c>
      <c r="J329" s="6">
        <f t="shared" si="47"/>
        <v>0</v>
      </c>
      <c r="K329" s="89">
        <f t="shared" si="51"/>
        <v>0</v>
      </c>
    </row>
    <row r="330" spans="1:11" x14ac:dyDescent="0.2">
      <c r="A330" s="14" t="s">
        <v>341</v>
      </c>
      <c r="B330" s="15" t="s">
        <v>15</v>
      </c>
      <c r="C330" s="14">
        <v>18000</v>
      </c>
      <c r="D330" s="15">
        <v>0</v>
      </c>
      <c r="E330" s="89">
        <f t="shared" si="48"/>
        <v>0</v>
      </c>
      <c r="F330" s="15">
        <v>0</v>
      </c>
      <c r="G330" s="89">
        <f t="shared" si="46"/>
        <v>0</v>
      </c>
      <c r="H330" s="15">
        <f t="shared" si="49"/>
        <v>0</v>
      </c>
      <c r="I330" s="89">
        <f t="shared" si="50"/>
        <v>0</v>
      </c>
      <c r="J330" s="6">
        <f t="shared" si="47"/>
        <v>0</v>
      </c>
      <c r="K330" s="89">
        <f t="shared" si="51"/>
        <v>0</v>
      </c>
    </row>
    <row r="331" spans="1:11" x14ac:dyDescent="0.2">
      <c r="A331" s="14" t="s">
        <v>342</v>
      </c>
      <c r="B331" s="15" t="s">
        <v>15</v>
      </c>
      <c r="C331" s="14">
        <v>60</v>
      </c>
      <c r="D331" s="15">
        <v>0</v>
      </c>
      <c r="E331" s="89">
        <f t="shared" si="48"/>
        <v>0</v>
      </c>
      <c r="F331" s="15">
        <v>0</v>
      </c>
      <c r="G331" s="89">
        <f t="shared" si="46"/>
        <v>0</v>
      </c>
      <c r="H331" s="15">
        <f t="shared" si="49"/>
        <v>0</v>
      </c>
      <c r="I331" s="89">
        <f t="shared" si="50"/>
        <v>0</v>
      </c>
      <c r="J331" s="6">
        <f t="shared" si="47"/>
        <v>0</v>
      </c>
      <c r="K331" s="89">
        <f t="shared" si="51"/>
        <v>0</v>
      </c>
    </row>
    <row r="332" spans="1:11" x14ac:dyDescent="0.2">
      <c r="A332" s="14" t="s">
        <v>343</v>
      </c>
      <c r="B332" s="15" t="s">
        <v>15</v>
      </c>
      <c r="C332" s="14">
        <v>27000</v>
      </c>
      <c r="D332" s="15">
        <v>0</v>
      </c>
      <c r="E332" s="89">
        <f t="shared" si="48"/>
        <v>0</v>
      </c>
      <c r="F332" s="15">
        <v>0</v>
      </c>
      <c r="G332" s="89">
        <f t="shared" si="46"/>
        <v>0</v>
      </c>
      <c r="H332" s="15">
        <f t="shared" si="49"/>
        <v>0</v>
      </c>
      <c r="I332" s="89">
        <f t="shared" si="50"/>
        <v>0</v>
      </c>
      <c r="J332" s="6">
        <f t="shared" si="47"/>
        <v>0</v>
      </c>
      <c r="K332" s="89">
        <f t="shared" si="51"/>
        <v>0</v>
      </c>
    </row>
    <row r="333" spans="1:11" x14ac:dyDescent="0.2">
      <c r="A333" s="14" t="s">
        <v>344</v>
      </c>
      <c r="B333" s="15" t="s">
        <v>15</v>
      </c>
      <c r="C333" s="14">
        <v>32000</v>
      </c>
      <c r="D333" s="15">
        <v>0</v>
      </c>
      <c r="E333" s="89">
        <f>SUM(C333*D333)</f>
        <v>0</v>
      </c>
      <c r="F333" s="15">
        <v>0</v>
      </c>
      <c r="G333" s="89">
        <f t="shared" si="46"/>
        <v>0</v>
      </c>
      <c r="H333" s="15">
        <f t="shared" si="49"/>
        <v>0</v>
      </c>
      <c r="I333" s="89">
        <f t="shared" si="50"/>
        <v>0</v>
      </c>
      <c r="J333" s="6">
        <f t="shared" si="47"/>
        <v>0</v>
      </c>
      <c r="K333" s="89">
        <f t="shared" si="51"/>
        <v>0</v>
      </c>
    </row>
    <row r="334" spans="1:11" x14ac:dyDescent="0.2">
      <c r="A334" s="14" t="s">
        <v>345</v>
      </c>
      <c r="B334" s="15" t="s">
        <v>15</v>
      </c>
      <c r="C334" s="14">
        <v>1600</v>
      </c>
      <c r="D334" s="15">
        <v>0</v>
      </c>
      <c r="E334" s="89">
        <f t="shared" si="48"/>
        <v>0</v>
      </c>
      <c r="F334" s="15">
        <v>1200</v>
      </c>
      <c r="G334" s="89">
        <f t="shared" si="46"/>
        <v>1920000</v>
      </c>
      <c r="H334" s="15">
        <f t="shared" si="49"/>
        <v>1200</v>
      </c>
      <c r="I334" s="89">
        <f t="shared" si="50"/>
        <v>1920000</v>
      </c>
      <c r="J334" s="6">
        <f t="shared" si="47"/>
        <v>0</v>
      </c>
      <c r="K334" s="89">
        <f t="shared" si="51"/>
        <v>0</v>
      </c>
    </row>
    <row r="335" spans="1:11" x14ac:dyDescent="0.2">
      <c r="A335" s="14" t="s">
        <v>346</v>
      </c>
      <c r="B335" s="15" t="s">
        <v>15</v>
      </c>
      <c r="C335" s="14">
        <v>576</v>
      </c>
      <c r="D335" s="15">
        <v>0</v>
      </c>
      <c r="E335" s="89">
        <f t="shared" si="48"/>
        <v>0</v>
      </c>
      <c r="F335" s="15">
        <v>0</v>
      </c>
      <c r="G335" s="89">
        <f t="shared" si="46"/>
        <v>0</v>
      </c>
      <c r="H335" s="15">
        <f t="shared" si="49"/>
        <v>0</v>
      </c>
      <c r="I335" s="89">
        <f t="shared" si="50"/>
        <v>0</v>
      </c>
      <c r="J335" s="6">
        <f t="shared" si="47"/>
        <v>0</v>
      </c>
      <c r="K335" s="89">
        <f t="shared" si="51"/>
        <v>0</v>
      </c>
    </row>
    <row r="336" spans="1:11" x14ac:dyDescent="0.2">
      <c r="A336" s="14" t="s">
        <v>347</v>
      </c>
      <c r="B336" s="15" t="s">
        <v>25</v>
      </c>
      <c r="C336" s="14">
        <v>12500</v>
      </c>
      <c r="D336" s="15">
        <v>0</v>
      </c>
      <c r="E336" s="89">
        <f t="shared" si="48"/>
        <v>0</v>
      </c>
      <c r="F336" s="15">
        <v>5</v>
      </c>
      <c r="G336" s="89">
        <f t="shared" si="46"/>
        <v>62500</v>
      </c>
      <c r="H336" s="15">
        <f t="shared" si="49"/>
        <v>5</v>
      </c>
      <c r="I336" s="89">
        <f t="shared" si="50"/>
        <v>62500</v>
      </c>
      <c r="J336" s="6">
        <f t="shared" si="47"/>
        <v>0</v>
      </c>
      <c r="K336" s="89">
        <f t="shared" si="51"/>
        <v>0</v>
      </c>
    </row>
    <row r="337" spans="1:11" x14ac:dyDescent="0.2">
      <c r="A337" s="14" t="s">
        <v>348</v>
      </c>
      <c r="B337" s="15" t="s">
        <v>349</v>
      </c>
      <c r="C337" s="14">
        <v>207000</v>
      </c>
      <c r="D337" s="15">
        <v>0</v>
      </c>
      <c r="E337" s="89">
        <f t="shared" si="48"/>
        <v>0</v>
      </c>
      <c r="F337" s="15">
        <f>1+2+2+2</f>
        <v>7</v>
      </c>
      <c r="G337" s="89">
        <f t="shared" si="46"/>
        <v>1449000</v>
      </c>
      <c r="H337" s="15">
        <f t="shared" si="49"/>
        <v>7</v>
      </c>
      <c r="I337" s="89">
        <f t="shared" si="50"/>
        <v>1449000</v>
      </c>
      <c r="J337" s="6">
        <f t="shared" si="47"/>
        <v>0</v>
      </c>
      <c r="K337" s="89">
        <f t="shared" si="51"/>
        <v>0</v>
      </c>
    </row>
    <row r="338" spans="1:11" x14ac:dyDescent="0.2">
      <c r="A338" s="14" t="s">
        <v>350</v>
      </c>
      <c r="B338" s="15" t="s">
        <v>349</v>
      </c>
      <c r="C338" s="14">
        <v>95000</v>
      </c>
      <c r="D338" s="15">
        <v>0</v>
      </c>
      <c r="E338" s="89">
        <f t="shared" si="48"/>
        <v>0</v>
      </c>
      <c r="F338" s="15">
        <v>0</v>
      </c>
      <c r="G338" s="89">
        <f t="shared" si="46"/>
        <v>0</v>
      </c>
      <c r="H338" s="15">
        <f t="shared" si="49"/>
        <v>0</v>
      </c>
      <c r="I338" s="89">
        <f t="shared" si="50"/>
        <v>0</v>
      </c>
      <c r="J338" s="6">
        <f t="shared" si="47"/>
        <v>0</v>
      </c>
      <c r="K338" s="89">
        <f t="shared" si="51"/>
        <v>0</v>
      </c>
    </row>
    <row r="339" spans="1:11" x14ac:dyDescent="0.2">
      <c r="A339" s="14" t="s">
        <v>351</v>
      </c>
      <c r="B339" s="15" t="s">
        <v>349</v>
      </c>
      <c r="C339" s="14">
        <v>23000</v>
      </c>
      <c r="D339" s="15">
        <v>0</v>
      </c>
      <c r="E339" s="89">
        <f t="shared" si="48"/>
        <v>0</v>
      </c>
      <c r="F339" s="15">
        <v>0</v>
      </c>
      <c r="G339" s="89">
        <f t="shared" si="46"/>
        <v>0</v>
      </c>
      <c r="H339" s="15">
        <f t="shared" si="49"/>
        <v>0</v>
      </c>
      <c r="I339" s="89">
        <f t="shared" si="50"/>
        <v>0</v>
      </c>
      <c r="J339" s="6">
        <f t="shared" si="47"/>
        <v>0</v>
      </c>
      <c r="K339" s="89">
        <f t="shared" si="51"/>
        <v>0</v>
      </c>
    </row>
    <row r="340" spans="1:11" x14ac:dyDescent="0.2">
      <c r="A340" s="14" t="s">
        <v>352</v>
      </c>
      <c r="B340" s="15" t="s">
        <v>25</v>
      </c>
      <c r="C340" s="14">
        <v>18000</v>
      </c>
      <c r="D340" s="15">
        <v>0</v>
      </c>
      <c r="E340" s="89">
        <f t="shared" si="48"/>
        <v>0</v>
      </c>
      <c r="F340" s="15">
        <v>3</v>
      </c>
      <c r="G340" s="89">
        <f t="shared" si="46"/>
        <v>54000</v>
      </c>
      <c r="H340" s="15">
        <f t="shared" si="49"/>
        <v>3</v>
      </c>
      <c r="I340" s="89">
        <f t="shared" si="50"/>
        <v>54000</v>
      </c>
      <c r="J340" s="6">
        <f t="shared" si="47"/>
        <v>0</v>
      </c>
      <c r="K340" s="89">
        <f t="shared" si="51"/>
        <v>0</v>
      </c>
    </row>
    <row r="341" spans="1:11" x14ac:dyDescent="0.2">
      <c r="A341" s="14" t="s">
        <v>353</v>
      </c>
      <c r="B341" s="15" t="s">
        <v>25</v>
      </c>
      <c r="C341" s="14">
        <v>16000</v>
      </c>
      <c r="D341" s="15">
        <v>0</v>
      </c>
      <c r="E341" s="89">
        <f t="shared" si="48"/>
        <v>0</v>
      </c>
      <c r="F341" s="15">
        <v>0</v>
      </c>
      <c r="G341" s="89">
        <f t="shared" si="46"/>
        <v>0</v>
      </c>
      <c r="H341" s="15">
        <f t="shared" si="49"/>
        <v>0</v>
      </c>
      <c r="I341" s="89">
        <f t="shared" si="50"/>
        <v>0</v>
      </c>
      <c r="J341" s="6">
        <f t="shared" si="47"/>
        <v>0</v>
      </c>
      <c r="K341" s="89">
        <f t="shared" si="51"/>
        <v>0</v>
      </c>
    </row>
    <row r="342" spans="1:11" x14ac:dyDescent="0.2">
      <c r="A342" s="14" t="s">
        <v>354</v>
      </c>
      <c r="B342" s="15" t="s">
        <v>25</v>
      </c>
      <c r="C342" s="14">
        <v>18000</v>
      </c>
      <c r="D342" s="15">
        <v>0</v>
      </c>
      <c r="E342" s="89"/>
      <c r="F342" s="15">
        <v>1</v>
      </c>
      <c r="G342" s="89">
        <f t="shared" si="46"/>
        <v>18000</v>
      </c>
      <c r="H342" s="15">
        <f t="shared" si="49"/>
        <v>1</v>
      </c>
      <c r="I342" s="89">
        <f t="shared" si="50"/>
        <v>18000</v>
      </c>
      <c r="J342" s="6">
        <f t="shared" si="47"/>
        <v>0</v>
      </c>
      <c r="K342" s="89"/>
    </row>
    <row r="343" spans="1:11" x14ac:dyDescent="0.2">
      <c r="A343" s="14" t="s">
        <v>355</v>
      </c>
      <c r="B343" s="15" t="s">
        <v>25</v>
      </c>
      <c r="C343" s="14">
        <v>28000</v>
      </c>
      <c r="D343" s="15">
        <v>0</v>
      </c>
      <c r="E343" s="89">
        <f t="shared" si="48"/>
        <v>0</v>
      </c>
      <c r="F343" s="15">
        <v>0</v>
      </c>
      <c r="G343" s="89">
        <f t="shared" si="46"/>
        <v>0</v>
      </c>
      <c r="H343" s="15">
        <f t="shared" si="49"/>
        <v>0</v>
      </c>
      <c r="I343" s="89">
        <f t="shared" si="50"/>
        <v>0</v>
      </c>
      <c r="J343" s="6">
        <f t="shared" si="47"/>
        <v>0</v>
      </c>
      <c r="K343" s="89">
        <f t="shared" si="51"/>
        <v>0</v>
      </c>
    </row>
    <row r="344" spans="1:11" x14ac:dyDescent="0.2">
      <c r="A344" s="14" t="s">
        <v>356</v>
      </c>
      <c r="B344" s="15" t="s">
        <v>25</v>
      </c>
      <c r="C344" s="14">
        <v>4500</v>
      </c>
      <c r="D344" s="15">
        <v>0</v>
      </c>
      <c r="E344" s="89">
        <f t="shared" si="48"/>
        <v>0</v>
      </c>
      <c r="F344" s="15">
        <v>9</v>
      </c>
      <c r="G344" s="89">
        <f t="shared" si="46"/>
        <v>40500</v>
      </c>
      <c r="H344" s="15">
        <f t="shared" si="49"/>
        <v>9</v>
      </c>
      <c r="I344" s="89">
        <f t="shared" si="50"/>
        <v>40500</v>
      </c>
      <c r="J344" s="6">
        <f t="shared" si="47"/>
        <v>0</v>
      </c>
      <c r="K344" s="89">
        <f t="shared" si="51"/>
        <v>0</v>
      </c>
    </row>
    <row r="345" spans="1:11" x14ac:dyDescent="0.2">
      <c r="A345" s="14" t="s">
        <v>357</v>
      </c>
      <c r="B345" s="15" t="s">
        <v>15</v>
      </c>
      <c r="C345" s="14">
        <v>3000</v>
      </c>
      <c r="D345" s="15">
        <v>0</v>
      </c>
      <c r="E345" s="89">
        <f t="shared" si="48"/>
        <v>0</v>
      </c>
      <c r="F345" s="15">
        <v>0</v>
      </c>
      <c r="G345" s="89">
        <f t="shared" si="46"/>
        <v>0</v>
      </c>
      <c r="H345" s="15">
        <f t="shared" si="49"/>
        <v>0</v>
      </c>
      <c r="I345" s="89">
        <f t="shared" si="50"/>
        <v>0</v>
      </c>
      <c r="J345" s="6">
        <f t="shared" si="47"/>
        <v>0</v>
      </c>
      <c r="K345" s="89">
        <f t="shared" si="51"/>
        <v>0</v>
      </c>
    </row>
    <row r="346" spans="1:11" x14ac:dyDescent="0.2">
      <c r="A346" s="14" t="s">
        <v>358</v>
      </c>
      <c r="B346" s="15" t="s">
        <v>25</v>
      </c>
      <c r="C346" s="14">
        <v>12000</v>
      </c>
      <c r="D346" s="15">
        <v>0</v>
      </c>
      <c r="E346" s="89">
        <f t="shared" si="48"/>
        <v>0</v>
      </c>
      <c r="F346" s="15">
        <v>0</v>
      </c>
      <c r="G346" s="89">
        <f t="shared" si="46"/>
        <v>0</v>
      </c>
      <c r="H346" s="15">
        <f t="shared" si="49"/>
        <v>0</v>
      </c>
      <c r="I346" s="89">
        <f t="shared" si="50"/>
        <v>0</v>
      </c>
      <c r="J346" s="6">
        <f t="shared" si="47"/>
        <v>0</v>
      </c>
      <c r="K346" s="89">
        <f t="shared" si="51"/>
        <v>0</v>
      </c>
    </row>
    <row r="347" spans="1:11" x14ac:dyDescent="0.2">
      <c r="A347" s="14" t="s">
        <v>359</v>
      </c>
      <c r="B347" s="15" t="s">
        <v>25</v>
      </c>
      <c r="C347" s="14">
        <v>17000</v>
      </c>
      <c r="D347" s="15">
        <v>0</v>
      </c>
      <c r="E347" s="89">
        <f t="shared" si="48"/>
        <v>0</v>
      </c>
      <c r="F347" s="15">
        <v>0</v>
      </c>
      <c r="G347" s="89">
        <f t="shared" si="46"/>
        <v>0</v>
      </c>
      <c r="H347" s="15">
        <f t="shared" si="49"/>
        <v>0</v>
      </c>
      <c r="I347" s="89">
        <f t="shared" si="50"/>
        <v>0</v>
      </c>
      <c r="J347" s="6">
        <f t="shared" si="47"/>
        <v>0</v>
      </c>
      <c r="K347" s="89">
        <f t="shared" si="51"/>
        <v>0</v>
      </c>
    </row>
    <row r="348" spans="1:11" x14ac:dyDescent="0.2">
      <c r="A348" s="14" t="s">
        <v>360</v>
      </c>
      <c r="B348" s="15" t="s">
        <v>15</v>
      </c>
      <c r="C348" s="14">
        <v>75000</v>
      </c>
      <c r="D348" s="15">
        <v>0</v>
      </c>
      <c r="E348" s="89">
        <f t="shared" si="48"/>
        <v>0</v>
      </c>
      <c r="F348" s="15">
        <v>0</v>
      </c>
      <c r="G348" s="89">
        <f t="shared" si="46"/>
        <v>0</v>
      </c>
      <c r="H348" s="15">
        <f t="shared" si="49"/>
        <v>0</v>
      </c>
      <c r="I348" s="89">
        <f t="shared" si="50"/>
        <v>0</v>
      </c>
      <c r="J348" s="6">
        <f t="shared" si="47"/>
        <v>0</v>
      </c>
      <c r="K348" s="89">
        <f t="shared" si="51"/>
        <v>0</v>
      </c>
    </row>
    <row r="349" spans="1:11" x14ac:dyDescent="0.2">
      <c r="A349" s="14" t="s">
        <v>361</v>
      </c>
      <c r="B349" s="15" t="s">
        <v>15</v>
      </c>
      <c r="C349" s="14">
        <v>1700</v>
      </c>
      <c r="D349" s="15">
        <v>0</v>
      </c>
      <c r="E349" s="89">
        <f t="shared" si="48"/>
        <v>0</v>
      </c>
      <c r="F349" s="15">
        <v>0</v>
      </c>
      <c r="G349" s="89">
        <f t="shared" si="46"/>
        <v>0</v>
      </c>
      <c r="H349" s="15">
        <f t="shared" si="49"/>
        <v>0</v>
      </c>
      <c r="I349" s="89">
        <f t="shared" si="50"/>
        <v>0</v>
      </c>
      <c r="J349" s="6">
        <f>SUM(D349+F349)-H349</f>
        <v>0</v>
      </c>
      <c r="K349" s="89">
        <f t="shared" si="51"/>
        <v>0</v>
      </c>
    </row>
    <row r="350" spans="1:11" x14ac:dyDescent="0.2">
      <c r="A350" s="14" t="s">
        <v>362</v>
      </c>
      <c r="B350" s="15" t="s">
        <v>25</v>
      </c>
      <c r="C350" s="14">
        <v>52500</v>
      </c>
      <c r="D350" s="15">
        <v>0</v>
      </c>
      <c r="E350" s="89">
        <f t="shared" si="48"/>
        <v>0</v>
      </c>
      <c r="F350" s="15">
        <v>0</v>
      </c>
      <c r="G350" s="89">
        <f t="shared" si="46"/>
        <v>0</v>
      </c>
      <c r="H350" s="15">
        <f t="shared" si="49"/>
        <v>0</v>
      </c>
      <c r="I350" s="89">
        <f t="shared" si="50"/>
        <v>0</v>
      </c>
      <c r="J350" s="6">
        <f>SUM(D350+F350)-H350</f>
        <v>0</v>
      </c>
      <c r="K350" s="89">
        <f t="shared" si="51"/>
        <v>0</v>
      </c>
    </row>
    <row r="351" spans="1:11" x14ac:dyDescent="0.2">
      <c r="A351" s="14" t="s">
        <v>363</v>
      </c>
      <c r="B351" s="15" t="s">
        <v>25</v>
      </c>
      <c r="C351" s="14">
        <v>12500</v>
      </c>
      <c r="D351" s="15">
        <v>0</v>
      </c>
      <c r="E351" s="89">
        <f t="shared" si="48"/>
        <v>0</v>
      </c>
      <c r="F351" s="15">
        <v>2</v>
      </c>
      <c r="G351" s="89">
        <f t="shared" si="46"/>
        <v>25000</v>
      </c>
      <c r="H351" s="15">
        <f t="shared" si="49"/>
        <v>2</v>
      </c>
      <c r="I351" s="89">
        <f t="shared" si="50"/>
        <v>25000</v>
      </c>
      <c r="J351" s="6">
        <f t="shared" si="47"/>
        <v>0</v>
      </c>
      <c r="K351" s="89">
        <f t="shared" si="51"/>
        <v>0</v>
      </c>
    </row>
    <row r="352" spans="1:11" x14ac:dyDescent="0.2">
      <c r="A352" s="14" t="s">
        <v>364</v>
      </c>
      <c r="B352" s="15" t="s">
        <v>25</v>
      </c>
      <c r="C352" s="14">
        <v>20000</v>
      </c>
      <c r="D352" s="15">
        <v>0</v>
      </c>
      <c r="E352" s="89">
        <f t="shared" si="48"/>
        <v>0</v>
      </c>
      <c r="F352" s="15">
        <v>0</v>
      </c>
      <c r="G352" s="89">
        <f t="shared" si="46"/>
        <v>0</v>
      </c>
      <c r="H352" s="15">
        <f t="shared" si="49"/>
        <v>0</v>
      </c>
      <c r="I352" s="89">
        <f t="shared" si="50"/>
        <v>0</v>
      </c>
      <c r="J352" s="6">
        <f t="shared" si="47"/>
        <v>0</v>
      </c>
      <c r="K352" s="89">
        <f t="shared" si="51"/>
        <v>0</v>
      </c>
    </row>
    <row r="353" spans="1:11" x14ac:dyDescent="0.2">
      <c r="A353" s="14" t="s">
        <v>365</v>
      </c>
      <c r="B353" s="15" t="s">
        <v>15</v>
      </c>
      <c r="C353" s="14">
        <v>1700</v>
      </c>
      <c r="D353" s="15">
        <v>0</v>
      </c>
      <c r="E353" s="89">
        <f t="shared" si="48"/>
        <v>0</v>
      </c>
      <c r="F353" s="15">
        <v>0</v>
      </c>
      <c r="G353" s="89">
        <f t="shared" si="46"/>
        <v>0</v>
      </c>
      <c r="H353" s="15">
        <f t="shared" si="49"/>
        <v>0</v>
      </c>
      <c r="I353" s="89">
        <f t="shared" si="50"/>
        <v>0</v>
      </c>
      <c r="J353" s="6">
        <f t="shared" si="47"/>
        <v>0</v>
      </c>
      <c r="K353" s="89">
        <f t="shared" si="51"/>
        <v>0</v>
      </c>
    </row>
    <row r="354" spans="1:11" x14ac:dyDescent="0.2">
      <c r="A354" s="14" t="s">
        <v>366</v>
      </c>
      <c r="B354" s="15" t="s">
        <v>124</v>
      </c>
      <c r="C354" s="14">
        <v>10000</v>
      </c>
      <c r="D354" s="15">
        <v>0</v>
      </c>
      <c r="E354" s="89">
        <f t="shared" si="48"/>
        <v>0</v>
      </c>
      <c r="F354" s="15">
        <v>0</v>
      </c>
      <c r="G354" s="89">
        <f t="shared" si="46"/>
        <v>0</v>
      </c>
      <c r="H354" s="15">
        <f t="shared" si="49"/>
        <v>0</v>
      </c>
      <c r="I354" s="89">
        <f t="shared" si="50"/>
        <v>0</v>
      </c>
      <c r="J354" s="6">
        <f t="shared" si="47"/>
        <v>0</v>
      </c>
      <c r="K354" s="89">
        <f t="shared" si="51"/>
        <v>0</v>
      </c>
    </row>
    <row r="355" spans="1:11" x14ac:dyDescent="0.2">
      <c r="A355" s="14" t="s">
        <v>367</v>
      </c>
      <c r="B355" s="15" t="s">
        <v>17</v>
      </c>
      <c r="C355" s="14">
        <v>20000</v>
      </c>
      <c r="D355" s="15">
        <v>0</v>
      </c>
      <c r="E355" s="89">
        <f t="shared" si="48"/>
        <v>0</v>
      </c>
      <c r="F355" s="15">
        <v>0</v>
      </c>
      <c r="G355" s="89">
        <f t="shared" si="46"/>
        <v>0</v>
      </c>
      <c r="H355" s="15">
        <f t="shared" si="49"/>
        <v>0</v>
      </c>
      <c r="I355" s="89">
        <f t="shared" si="50"/>
        <v>0</v>
      </c>
      <c r="J355" s="6">
        <f t="shared" si="47"/>
        <v>0</v>
      </c>
      <c r="K355" s="89">
        <f t="shared" si="51"/>
        <v>0</v>
      </c>
    </row>
    <row r="356" spans="1:11" x14ac:dyDescent="0.2">
      <c r="A356" s="14" t="s">
        <v>368</v>
      </c>
      <c r="B356" s="15" t="s">
        <v>17</v>
      </c>
      <c r="C356" s="14">
        <v>27000</v>
      </c>
      <c r="D356" s="15">
        <v>0</v>
      </c>
      <c r="E356" s="89"/>
      <c r="F356" s="15">
        <v>0</v>
      </c>
      <c r="G356" s="89">
        <f t="shared" si="46"/>
        <v>0</v>
      </c>
      <c r="H356" s="15">
        <f t="shared" si="49"/>
        <v>0</v>
      </c>
      <c r="I356" s="89">
        <f t="shared" si="50"/>
        <v>0</v>
      </c>
      <c r="J356" s="6">
        <f t="shared" si="47"/>
        <v>0</v>
      </c>
      <c r="K356" s="89">
        <f t="shared" si="51"/>
        <v>0</v>
      </c>
    </row>
    <row r="357" spans="1:11" x14ac:dyDescent="0.2">
      <c r="A357" s="14" t="s">
        <v>369</v>
      </c>
      <c r="B357" s="15" t="s">
        <v>62</v>
      </c>
      <c r="C357" s="14">
        <v>600</v>
      </c>
      <c r="D357" s="15">
        <v>0</v>
      </c>
      <c r="E357" s="89"/>
      <c r="F357" s="15">
        <v>0</v>
      </c>
      <c r="G357" s="89">
        <f t="shared" si="46"/>
        <v>0</v>
      </c>
      <c r="H357" s="15">
        <f t="shared" si="49"/>
        <v>0</v>
      </c>
      <c r="I357" s="89">
        <f t="shared" si="50"/>
        <v>0</v>
      </c>
      <c r="J357" s="6">
        <f t="shared" si="47"/>
        <v>0</v>
      </c>
      <c r="K357" s="89">
        <f t="shared" si="51"/>
        <v>0</v>
      </c>
    </row>
    <row r="358" spans="1:11" x14ac:dyDescent="0.2">
      <c r="A358" s="14" t="s">
        <v>370</v>
      </c>
      <c r="B358" s="15" t="s">
        <v>17</v>
      </c>
      <c r="C358" s="14">
        <v>9000</v>
      </c>
      <c r="D358" s="15">
        <v>0</v>
      </c>
      <c r="E358" s="89"/>
      <c r="F358" s="15">
        <v>0</v>
      </c>
      <c r="G358" s="89">
        <f t="shared" si="46"/>
        <v>0</v>
      </c>
      <c r="H358" s="15">
        <f t="shared" si="49"/>
        <v>0</v>
      </c>
      <c r="I358" s="89">
        <f t="shared" si="50"/>
        <v>0</v>
      </c>
      <c r="J358" s="6">
        <f t="shared" si="47"/>
        <v>0</v>
      </c>
      <c r="K358" s="89">
        <f t="shared" si="51"/>
        <v>0</v>
      </c>
    </row>
    <row r="359" spans="1:11" x14ac:dyDescent="0.2">
      <c r="A359" s="93"/>
      <c r="B359" s="3"/>
      <c r="C359" s="1"/>
      <c r="D359" s="3"/>
      <c r="E359" s="3"/>
      <c r="F359" s="94"/>
      <c r="G359" s="1"/>
      <c r="H359" s="3"/>
      <c r="I359" s="98" t="s">
        <v>371</v>
      </c>
      <c r="J359" s="98"/>
      <c r="K359" s="98"/>
    </row>
    <row r="360" spans="1:11" x14ac:dyDescent="0.2">
      <c r="A360" s="94" t="s">
        <v>372</v>
      </c>
      <c r="B360" s="99" t="s">
        <v>373</v>
      </c>
      <c r="C360" s="99"/>
      <c r="D360" s="99"/>
      <c r="E360" s="99" t="s">
        <v>374</v>
      </c>
      <c r="F360" s="99"/>
      <c r="G360" s="99"/>
      <c r="H360" s="99"/>
      <c r="I360" s="99" t="s">
        <v>375</v>
      </c>
      <c r="J360" s="99"/>
      <c r="K360" s="99"/>
    </row>
    <row r="361" spans="1:11" x14ac:dyDescent="0.2">
      <c r="A361" s="93"/>
      <c r="B361" s="3"/>
      <c r="C361" s="1"/>
      <c r="D361" s="3"/>
      <c r="E361" s="3"/>
      <c r="F361" s="94"/>
      <c r="G361" s="1"/>
      <c r="H361" s="3"/>
      <c r="I361" s="1"/>
      <c r="J361" s="2"/>
      <c r="K361" s="1"/>
    </row>
    <row r="362" spans="1:11" x14ac:dyDescent="0.2">
      <c r="A362" s="93"/>
      <c r="B362" s="3"/>
      <c r="C362" s="1"/>
      <c r="D362" s="3"/>
      <c r="E362" s="3"/>
      <c r="F362" s="94"/>
      <c r="G362" s="1"/>
      <c r="H362" s="3"/>
      <c r="I362" s="1"/>
      <c r="J362" s="2"/>
      <c r="K362" s="1"/>
    </row>
    <row r="363" spans="1:11" x14ac:dyDescent="0.2">
      <c r="A363" s="93"/>
      <c r="B363" s="3"/>
      <c r="C363" s="1"/>
      <c r="D363" s="3"/>
      <c r="E363" s="3"/>
      <c r="F363" s="94"/>
      <c r="G363" s="1"/>
      <c r="H363" s="3"/>
      <c r="I363" s="1"/>
      <c r="J363" s="2"/>
      <c r="K363" s="1"/>
    </row>
    <row r="364" spans="1:11" x14ac:dyDescent="0.2">
      <c r="A364" s="94" t="s">
        <v>376</v>
      </c>
      <c r="B364" s="99" t="s">
        <v>377</v>
      </c>
      <c r="C364" s="99"/>
      <c r="D364" s="99"/>
      <c r="E364" s="99" t="s">
        <v>378</v>
      </c>
      <c r="F364" s="99"/>
      <c r="G364" s="99"/>
      <c r="H364" s="99"/>
      <c r="I364" s="99" t="s">
        <v>379</v>
      </c>
      <c r="J364" s="99"/>
      <c r="K364" s="99"/>
    </row>
  </sheetData>
  <mergeCells count="22">
    <mergeCell ref="A1:K1"/>
    <mergeCell ref="A3:A4"/>
    <mergeCell ref="B3:B4"/>
    <mergeCell ref="C3:C4"/>
    <mergeCell ref="D3:E3"/>
    <mergeCell ref="F3:G3"/>
    <mergeCell ref="H3:I3"/>
    <mergeCell ref="J3:K3"/>
    <mergeCell ref="B364:D364"/>
    <mergeCell ref="E364:H364"/>
    <mergeCell ref="I364:K364"/>
    <mergeCell ref="A5:K5"/>
    <mergeCell ref="A126:K126"/>
    <mergeCell ref="A176:K176"/>
    <mergeCell ref="A218:K218"/>
    <mergeCell ref="A273:K273"/>
    <mergeCell ref="A277:K277"/>
    <mergeCell ref="A293:K293"/>
    <mergeCell ref="I359:K359"/>
    <mergeCell ref="B360:D360"/>
    <mergeCell ref="E360:H360"/>
    <mergeCell ref="I360:K3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LOGISTIK-PC</dc:creator>
  <cp:lastModifiedBy>LOGISTIK-PC</cp:lastModifiedBy>
  <dcterms:created xsi:type="dcterms:W3CDTF">2023-03-30T07:59:49Z</dcterms:created>
  <dcterms:modified xsi:type="dcterms:W3CDTF">2023-03-31T01:58:56Z</dcterms:modified>
</cp:coreProperties>
</file>